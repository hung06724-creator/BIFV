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defaultThemeVersion="166925"/>
  <xr:revisionPtr revIDLastSave="0" documentId="13_ncr:1_{3C3F42BC-3E79-4D3F-8CDB-8B9EEAC5180C}" xr6:coauthVersionLast="47" xr6:coauthVersionMax="47" xr10:uidLastSave="{00000000-0000-0000-0000-000000000000}"/>
  <bookViews>
    <workbookView xWindow="-120" yWindow="-120" windowWidth="29040" windowHeight="15720" xr2:uid="{00000000-000D-0000-FFFF-FFFF00000000}"/>
  </bookViews>
  <sheets>
    <sheet name="Sổ phụ tháng" sheetId="3" r:id="rId1"/>
  </sheets>
  <definedNames>
    <definedName name="_xlnm._FilterDatabase" localSheetId="0" hidden="1">'Sổ phụ tháng'!$A$7:$BV$217</definedName>
    <definedName name="JR_PAGE_ANCHOR_0_1">#REF!</definedName>
  </definedNames>
  <calcPr calcId="191029"/>
</workbook>
</file>

<file path=xl/calcChain.xml><?xml version="1.0" encoding="utf-8"?>
<calcChain xmlns="http://schemas.openxmlformats.org/spreadsheetml/2006/main">
  <c r="L150" i="3" l="1"/>
  <c r="N150" i="3"/>
  <c r="O150" i="3"/>
  <c r="R150" i="3"/>
  <c r="U150" i="3"/>
  <c r="AH150" i="3"/>
  <c r="AJ150" i="3"/>
  <c r="AL150" i="3"/>
  <c r="AM150" i="3"/>
  <c r="AN150" i="3"/>
  <c r="AO150" i="3"/>
  <c r="AP150" i="3"/>
  <c r="AQ150" i="3"/>
  <c r="L151" i="3"/>
  <c r="AN151" i="3" s="1"/>
  <c r="N151" i="3"/>
  <c r="O151" i="3"/>
  <c r="R151" i="3"/>
  <c r="U151" i="3"/>
  <c r="AH151" i="3"/>
  <c r="AJ151" i="3"/>
  <c r="AL151" i="3"/>
  <c r="AM151" i="3"/>
  <c r="AO151" i="3"/>
  <c r="AP151" i="3"/>
  <c r="AQ151" i="3"/>
  <c r="L152" i="3"/>
  <c r="N152" i="3"/>
  <c r="O152" i="3"/>
  <c r="R152" i="3"/>
  <c r="U152" i="3"/>
  <c r="AH152" i="3"/>
  <c r="AJ152" i="3"/>
  <c r="AL152" i="3"/>
  <c r="AM152" i="3"/>
  <c r="AN152" i="3"/>
  <c r="AO152" i="3"/>
  <c r="AP152" i="3"/>
  <c r="AQ152" i="3"/>
  <c r="L153" i="3"/>
  <c r="N153" i="3" s="1"/>
  <c r="O153" i="3"/>
  <c r="R153" i="3"/>
  <c r="U153" i="3"/>
  <c r="AH153" i="3"/>
  <c r="AJ153" i="3"/>
  <c r="AL153" i="3"/>
  <c r="AM153" i="3"/>
  <c r="AN153" i="3"/>
  <c r="AO153" i="3"/>
  <c r="AP153" i="3"/>
  <c r="AQ153" i="3"/>
  <c r="L154" i="3"/>
  <c r="N154" i="3" s="1"/>
  <c r="O154" i="3"/>
  <c r="R154" i="3"/>
  <c r="U154" i="3"/>
  <c r="AH154" i="3"/>
  <c r="AJ154" i="3"/>
  <c r="AL154" i="3"/>
  <c r="AM154" i="3"/>
  <c r="AN154" i="3"/>
  <c r="AO154" i="3"/>
  <c r="AP154" i="3"/>
  <c r="AQ154" i="3"/>
  <c r="L155" i="3"/>
  <c r="AN155" i="3" s="1"/>
  <c r="N155" i="3"/>
  <c r="O155" i="3"/>
  <c r="R155" i="3"/>
  <c r="U155" i="3"/>
  <c r="AH155" i="3"/>
  <c r="AJ155" i="3"/>
  <c r="AL155" i="3"/>
  <c r="AM155" i="3"/>
  <c r="AO155" i="3"/>
  <c r="AP155" i="3"/>
  <c r="AQ155" i="3"/>
  <c r="L156" i="3"/>
  <c r="N156" i="3"/>
  <c r="O156" i="3"/>
  <c r="R156" i="3"/>
  <c r="U156" i="3"/>
  <c r="AH156" i="3"/>
  <c r="AJ156" i="3"/>
  <c r="AL156" i="3"/>
  <c r="AM156" i="3"/>
  <c r="AN156" i="3"/>
  <c r="AO156" i="3"/>
  <c r="AP156" i="3"/>
  <c r="AQ156" i="3"/>
  <c r="L157" i="3"/>
  <c r="AN157" i="3" s="1"/>
  <c r="N157" i="3"/>
  <c r="O157" i="3"/>
  <c r="R157" i="3"/>
  <c r="U157" i="3"/>
  <c r="AH157" i="3"/>
  <c r="AJ157" i="3"/>
  <c r="AL157" i="3"/>
  <c r="AM157" i="3"/>
  <c r="AO157" i="3"/>
  <c r="AP157" i="3"/>
  <c r="AQ157" i="3"/>
  <c r="L158" i="3"/>
  <c r="AN158" i="3" s="1"/>
  <c r="N158" i="3"/>
  <c r="O158" i="3"/>
  <c r="R158" i="3"/>
  <c r="U158" i="3"/>
  <c r="AH158" i="3"/>
  <c r="AJ158" i="3"/>
  <c r="AL158" i="3"/>
  <c r="AM158" i="3"/>
  <c r="AO158" i="3"/>
  <c r="AP158" i="3"/>
  <c r="AQ158" i="3"/>
  <c r="L159" i="3"/>
  <c r="AN159" i="3" s="1"/>
  <c r="N159" i="3"/>
  <c r="O159" i="3"/>
  <c r="R159" i="3"/>
  <c r="U159" i="3"/>
  <c r="AH159" i="3"/>
  <c r="AJ159" i="3"/>
  <c r="AL159" i="3"/>
  <c r="AM159" i="3"/>
  <c r="AO159" i="3"/>
  <c r="AP159" i="3"/>
  <c r="AQ159" i="3"/>
  <c r="L160" i="3"/>
  <c r="AN160" i="3" s="1"/>
  <c r="N160" i="3"/>
  <c r="O160" i="3"/>
  <c r="R160" i="3"/>
  <c r="U160" i="3"/>
  <c r="AH160" i="3"/>
  <c r="AJ160" i="3"/>
  <c r="AL160" i="3"/>
  <c r="AM160" i="3"/>
  <c r="AO160" i="3"/>
  <c r="AP160" i="3"/>
  <c r="AQ160" i="3"/>
  <c r="L161" i="3"/>
  <c r="R161" i="3" s="1"/>
  <c r="N161" i="3"/>
  <c r="O161" i="3"/>
  <c r="U161" i="3"/>
  <c r="AH161" i="3"/>
  <c r="AJ161" i="3"/>
  <c r="AL161" i="3"/>
  <c r="AM161" i="3"/>
  <c r="AN161" i="3"/>
  <c r="AO161" i="3"/>
  <c r="AP161" i="3"/>
  <c r="AQ161" i="3"/>
  <c r="L162" i="3"/>
  <c r="AN162" i="3" s="1"/>
  <c r="N162" i="3"/>
  <c r="O162" i="3"/>
  <c r="R162" i="3"/>
  <c r="U162" i="3"/>
  <c r="AH162" i="3"/>
  <c r="AJ162" i="3"/>
  <c r="AL162" i="3"/>
  <c r="AM162" i="3"/>
  <c r="AO162" i="3"/>
  <c r="AP162" i="3"/>
  <c r="AQ162" i="3"/>
  <c r="L163" i="3"/>
  <c r="R163" i="3" s="1"/>
  <c r="N163" i="3"/>
  <c r="O163" i="3"/>
  <c r="U163" i="3"/>
  <c r="AH163" i="3"/>
  <c r="AJ163" i="3"/>
  <c r="AL163" i="3"/>
  <c r="AM163" i="3"/>
  <c r="AN163" i="3"/>
  <c r="AO163" i="3"/>
  <c r="AP163" i="3"/>
  <c r="AQ163" i="3"/>
  <c r="L164" i="3"/>
  <c r="R164" i="3" s="1"/>
  <c r="N164" i="3"/>
  <c r="O164" i="3"/>
  <c r="U164" i="3"/>
  <c r="AH164" i="3"/>
  <c r="AJ164" i="3"/>
  <c r="AL164" i="3"/>
  <c r="AM164" i="3"/>
  <c r="AN164" i="3"/>
  <c r="AO164" i="3"/>
  <c r="AP164" i="3"/>
  <c r="AQ164" i="3"/>
  <c r="L165" i="3"/>
  <c r="AN165" i="3" s="1"/>
  <c r="N165" i="3"/>
  <c r="O165" i="3"/>
  <c r="R165" i="3"/>
  <c r="U165" i="3"/>
  <c r="AH165" i="3"/>
  <c r="AJ165" i="3"/>
  <c r="AL165" i="3"/>
  <c r="AM165" i="3"/>
  <c r="AO165" i="3"/>
  <c r="AP165" i="3"/>
  <c r="AQ165" i="3"/>
  <c r="L166" i="3"/>
  <c r="R166" i="3" s="1"/>
  <c r="N166" i="3"/>
  <c r="O166" i="3"/>
  <c r="U166" i="3"/>
  <c r="AH166" i="3"/>
  <c r="AJ166" i="3"/>
  <c r="AL166" i="3"/>
  <c r="AM166" i="3"/>
  <c r="AN166" i="3"/>
  <c r="AO166" i="3"/>
  <c r="AP166" i="3"/>
  <c r="AQ166" i="3"/>
  <c r="L167" i="3"/>
  <c r="AN167" i="3" s="1"/>
  <c r="N167" i="3"/>
  <c r="O167" i="3"/>
  <c r="R167" i="3"/>
  <c r="U167" i="3"/>
  <c r="AH167" i="3"/>
  <c r="AJ167" i="3"/>
  <c r="AL167" i="3"/>
  <c r="AM167" i="3"/>
  <c r="AO167" i="3"/>
  <c r="AP167" i="3"/>
  <c r="AQ167" i="3"/>
  <c r="L168" i="3"/>
  <c r="AN168" i="3" s="1"/>
  <c r="N168" i="3"/>
  <c r="O168" i="3"/>
  <c r="R168" i="3"/>
  <c r="U168" i="3"/>
  <c r="AH168" i="3"/>
  <c r="AJ168" i="3"/>
  <c r="AL168" i="3"/>
  <c r="AM168" i="3"/>
  <c r="AO168" i="3"/>
  <c r="AP168" i="3"/>
  <c r="AQ168" i="3"/>
  <c r="L169" i="3"/>
  <c r="N169" i="3" s="1"/>
  <c r="O169" i="3"/>
  <c r="R169" i="3"/>
  <c r="U169" i="3"/>
  <c r="AH169" i="3"/>
  <c r="AJ169" i="3"/>
  <c r="AL169" i="3"/>
  <c r="AM169" i="3"/>
  <c r="AN169" i="3"/>
  <c r="AO169" i="3"/>
  <c r="AP169" i="3"/>
  <c r="AQ169" i="3"/>
  <c r="L170" i="3"/>
  <c r="N170" i="3"/>
  <c r="O170" i="3"/>
  <c r="R170" i="3"/>
  <c r="U170" i="3"/>
  <c r="AH170" i="3"/>
  <c r="AJ170" i="3"/>
  <c r="AL170" i="3"/>
  <c r="AM170" i="3"/>
  <c r="AN170" i="3"/>
  <c r="AO170" i="3"/>
  <c r="AP170" i="3"/>
  <c r="AQ170" i="3"/>
  <c r="L171" i="3"/>
  <c r="R171" i="3" s="1"/>
  <c r="N171" i="3"/>
  <c r="O171" i="3"/>
  <c r="U171" i="3"/>
  <c r="AH171" i="3"/>
  <c r="AJ171" i="3"/>
  <c r="AL171" i="3"/>
  <c r="AM171" i="3"/>
  <c r="AN171" i="3"/>
  <c r="AO171" i="3"/>
  <c r="AP171" i="3"/>
  <c r="AQ171" i="3"/>
  <c r="L172" i="3"/>
  <c r="R172" i="3" s="1"/>
  <c r="N172" i="3"/>
  <c r="O172" i="3"/>
  <c r="U172" i="3"/>
  <c r="AH172" i="3"/>
  <c r="AJ172" i="3"/>
  <c r="AL172" i="3"/>
  <c r="AM172" i="3"/>
  <c r="AN172" i="3"/>
  <c r="AO172" i="3"/>
  <c r="AP172" i="3"/>
  <c r="AQ172" i="3"/>
  <c r="L173" i="3"/>
  <c r="AN173" i="3" s="1"/>
  <c r="N173" i="3"/>
  <c r="O173" i="3"/>
  <c r="R173" i="3"/>
  <c r="U173" i="3"/>
  <c r="AH173" i="3"/>
  <c r="AJ173" i="3"/>
  <c r="AL173" i="3"/>
  <c r="AM173" i="3"/>
  <c r="AO173" i="3"/>
  <c r="AP173" i="3"/>
  <c r="AQ173" i="3"/>
  <c r="L174" i="3"/>
  <c r="AN174" i="3" s="1"/>
  <c r="N174" i="3"/>
  <c r="O174" i="3"/>
  <c r="R174" i="3"/>
  <c r="U174" i="3"/>
  <c r="AH174" i="3"/>
  <c r="AJ174" i="3"/>
  <c r="AL174" i="3"/>
  <c r="AM174" i="3"/>
  <c r="AO174" i="3"/>
  <c r="AP174" i="3"/>
  <c r="AQ174" i="3"/>
  <c r="L175" i="3"/>
  <c r="N175" i="3" s="1"/>
  <c r="O175" i="3"/>
  <c r="R175" i="3"/>
  <c r="U175" i="3"/>
  <c r="AH175" i="3"/>
  <c r="AJ175" i="3"/>
  <c r="AL175" i="3"/>
  <c r="AM175" i="3"/>
  <c r="AN175" i="3"/>
  <c r="AO175" i="3"/>
  <c r="AP175" i="3"/>
  <c r="AQ175" i="3"/>
  <c r="L176" i="3"/>
  <c r="N176" i="3" s="1"/>
  <c r="O176" i="3"/>
  <c r="R176" i="3"/>
  <c r="U176" i="3"/>
  <c r="AH176" i="3"/>
  <c r="AJ176" i="3"/>
  <c r="AL176" i="3"/>
  <c r="AM176" i="3"/>
  <c r="AN176" i="3"/>
  <c r="AO176" i="3"/>
  <c r="AP176" i="3"/>
  <c r="AQ176" i="3"/>
  <c r="L177" i="3"/>
  <c r="N177" i="3" s="1"/>
  <c r="O177" i="3"/>
  <c r="R177" i="3"/>
  <c r="U177" i="3"/>
  <c r="AH177" i="3"/>
  <c r="AJ177" i="3"/>
  <c r="AL177" i="3"/>
  <c r="AM177" i="3"/>
  <c r="AN177" i="3"/>
  <c r="AO177" i="3"/>
  <c r="AP177" i="3"/>
  <c r="AQ177" i="3"/>
  <c r="L178" i="3"/>
  <c r="N178" i="3" s="1"/>
  <c r="O178" i="3"/>
  <c r="R178" i="3"/>
  <c r="U178" i="3"/>
  <c r="AH178" i="3"/>
  <c r="AJ178" i="3"/>
  <c r="AL178" i="3"/>
  <c r="AM178" i="3"/>
  <c r="AN178" i="3"/>
  <c r="AO178" i="3"/>
  <c r="AP178" i="3"/>
  <c r="AQ178" i="3"/>
  <c r="L179" i="3"/>
  <c r="R179" i="3" s="1"/>
  <c r="N179" i="3"/>
  <c r="O179" i="3"/>
  <c r="U179" i="3"/>
  <c r="AH179" i="3"/>
  <c r="AJ179" i="3"/>
  <c r="AL179" i="3"/>
  <c r="AM179" i="3"/>
  <c r="AN179" i="3"/>
  <c r="AO179" i="3"/>
  <c r="AP179" i="3"/>
  <c r="AQ179" i="3"/>
  <c r="L180" i="3"/>
  <c r="R180" i="3" s="1"/>
  <c r="N180" i="3"/>
  <c r="O180" i="3"/>
  <c r="U180" i="3"/>
  <c r="AH180" i="3"/>
  <c r="AJ180" i="3"/>
  <c r="AL180" i="3"/>
  <c r="AM180" i="3"/>
  <c r="AN180" i="3"/>
  <c r="AO180" i="3"/>
  <c r="AP180" i="3"/>
  <c r="AQ180" i="3"/>
  <c r="L181" i="3"/>
  <c r="AN181" i="3" s="1"/>
  <c r="N181" i="3"/>
  <c r="O181" i="3"/>
  <c r="R181" i="3"/>
  <c r="U181" i="3"/>
  <c r="AH181" i="3"/>
  <c r="AJ181" i="3"/>
  <c r="AL181" i="3"/>
  <c r="AM181" i="3"/>
  <c r="AO181" i="3"/>
  <c r="AP181" i="3"/>
  <c r="AQ181" i="3"/>
  <c r="L182" i="3"/>
  <c r="R182" i="3" s="1"/>
  <c r="N182" i="3"/>
  <c r="O182" i="3"/>
  <c r="U182" i="3"/>
  <c r="AH182" i="3"/>
  <c r="AJ182" i="3"/>
  <c r="AL182" i="3"/>
  <c r="AM182" i="3"/>
  <c r="AN182" i="3"/>
  <c r="AO182" i="3"/>
  <c r="AP182" i="3"/>
  <c r="AQ182" i="3"/>
  <c r="L183" i="3"/>
  <c r="R183" i="3" s="1"/>
  <c r="N183" i="3"/>
  <c r="O183" i="3"/>
  <c r="U183" i="3"/>
  <c r="AH183" i="3"/>
  <c r="AJ183" i="3"/>
  <c r="AL183" i="3"/>
  <c r="AM183" i="3"/>
  <c r="AN183" i="3"/>
  <c r="AO183" i="3"/>
  <c r="AP183" i="3"/>
  <c r="AQ183" i="3"/>
  <c r="L184" i="3"/>
  <c r="R184" i="3" s="1"/>
  <c r="N184" i="3"/>
  <c r="O184" i="3"/>
  <c r="U184" i="3"/>
  <c r="AH184" i="3"/>
  <c r="AJ184" i="3"/>
  <c r="AL184" i="3"/>
  <c r="AM184" i="3"/>
  <c r="AN184" i="3"/>
  <c r="AO184" i="3"/>
  <c r="AP184" i="3"/>
  <c r="AQ184" i="3"/>
  <c r="L185" i="3"/>
  <c r="N185" i="3" s="1"/>
  <c r="O185" i="3"/>
  <c r="R185" i="3"/>
  <c r="U185" i="3"/>
  <c r="AH185" i="3"/>
  <c r="AJ185" i="3"/>
  <c r="AL185" i="3"/>
  <c r="AM185" i="3"/>
  <c r="AN185" i="3"/>
  <c r="AO185" i="3"/>
  <c r="AP185" i="3"/>
  <c r="AQ185" i="3"/>
  <c r="L186" i="3"/>
  <c r="AN186" i="3" s="1"/>
  <c r="N186" i="3"/>
  <c r="O186" i="3"/>
  <c r="R186" i="3"/>
  <c r="U186" i="3"/>
  <c r="AH186" i="3"/>
  <c r="AJ186" i="3"/>
  <c r="AL186" i="3"/>
  <c r="AM186" i="3"/>
  <c r="AO186" i="3"/>
  <c r="AP186" i="3"/>
  <c r="AQ186" i="3"/>
  <c r="L187" i="3"/>
  <c r="R187" i="3" s="1"/>
  <c r="N187" i="3"/>
  <c r="O187" i="3"/>
  <c r="U187" i="3"/>
  <c r="AH187" i="3"/>
  <c r="AJ187" i="3"/>
  <c r="AL187" i="3"/>
  <c r="AM187" i="3"/>
  <c r="AN187" i="3"/>
  <c r="AO187" i="3"/>
  <c r="AP187" i="3"/>
  <c r="AQ187" i="3"/>
  <c r="L188" i="3"/>
  <c r="R188" i="3" s="1"/>
  <c r="N188" i="3"/>
  <c r="O188" i="3"/>
  <c r="U188" i="3"/>
  <c r="AH188" i="3"/>
  <c r="AJ188" i="3"/>
  <c r="AL188" i="3"/>
  <c r="AM188" i="3"/>
  <c r="AN188" i="3"/>
  <c r="AO188" i="3"/>
  <c r="AP188" i="3"/>
  <c r="AQ188" i="3"/>
  <c r="L189" i="3"/>
  <c r="R189" i="3" s="1"/>
  <c r="N189" i="3"/>
  <c r="O189" i="3"/>
  <c r="U189" i="3"/>
  <c r="AH189" i="3"/>
  <c r="AJ189" i="3"/>
  <c r="AL189" i="3"/>
  <c r="AM189" i="3"/>
  <c r="AN189" i="3"/>
  <c r="AO189" i="3"/>
  <c r="AP189" i="3"/>
  <c r="AQ189" i="3"/>
  <c r="L190" i="3"/>
  <c r="AN190" i="3" s="1"/>
  <c r="N190" i="3"/>
  <c r="O190" i="3"/>
  <c r="R190" i="3"/>
  <c r="U190" i="3"/>
  <c r="AH190" i="3"/>
  <c r="AJ190" i="3"/>
  <c r="AL190" i="3"/>
  <c r="AM190" i="3"/>
  <c r="AO190" i="3"/>
  <c r="AP190" i="3"/>
  <c r="AQ190" i="3"/>
  <c r="L191" i="3"/>
  <c r="AN191" i="3" s="1"/>
  <c r="N191" i="3"/>
  <c r="O191" i="3"/>
  <c r="R191" i="3"/>
  <c r="U191" i="3"/>
  <c r="AH191" i="3"/>
  <c r="AJ191" i="3"/>
  <c r="AL191" i="3"/>
  <c r="AM191" i="3"/>
  <c r="AO191" i="3"/>
  <c r="AP191" i="3"/>
  <c r="AQ191" i="3"/>
  <c r="L192" i="3"/>
  <c r="AN192" i="3" s="1"/>
  <c r="N192" i="3"/>
  <c r="O192" i="3"/>
  <c r="R192" i="3"/>
  <c r="U192" i="3"/>
  <c r="AH192" i="3"/>
  <c r="AJ192" i="3"/>
  <c r="AL192" i="3"/>
  <c r="AM192" i="3"/>
  <c r="AO192" i="3"/>
  <c r="AP192" i="3"/>
  <c r="AQ192" i="3"/>
  <c r="L193" i="3"/>
  <c r="R193" i="3" s="1"/>
  <c r="N193" i="3"/>
  <c r="O193" i="3"/>
  <c r="U193" i="3"/>
  <c r="AH193" i="3"/>
  <c r="AJ193" i="3"/>
  <c r="AL193" i="3"/>
  <c r="AM193" i="3"/>
  <c r="AN193" i="3"/>
  <c r="AO193" i="3"/>
  <c r="AP193" i="3"/>
  <c r="AQ193" i="3"/>
  <c r="L194" i="3"/>
  <c r="AN194" i="3" s="1"/>
  <c r="N194" i="3"/>
  <c r="O194" i="3"/>
  <c r="R194" i="3"/>
  <c r="U194" i="3"/>
  <c r="AH194" i="3"/>
  <c r="AJ194" i="3"/>
  <c r="AL194" i="3"/>
  <c r="AM194" i="3"/>
  <c r="AO194" i="3"/>
  <c r="AP194" i="3"/>
  <c r="AQ194" i="3"/>
  <c r="L195" i="3"/>
  <c r="AN195" i="3" s="1"/>
  <c r="N195" i="3"/>
  <c r="O195" i="3"/>
  <c r="R195" i="3"/>
  <c r="U195" i="3"/>
  <c r="AH195" i="3"/>
  <c r="AJ195" i="3"/>
  <c r="AL195" i="3"/>
  <c r="AM195" i="3"/>
  <c r="AO195" i="3"/>
  <c r="AP195" i="3"/>
  <c r="AQ195" i="3"/>
  <c r="L196" i="3"/>
  <c r="AN196" i="3" s="1"/>
  <c r="N196" i="3"/>
  <c r="O196" i="3"/>
  <c r="R196" i="3"/>
  <c r="U196" i="3"/>
  <c r="AH196" i="3"/>
  <c r="AJ196" i="3"/>
  <c r="AL196" i="3"/>
  <c r="AM196" i="3"/>
  <c r="AO196" i="3"/>
  <c r="AP196" i="3"/>
  <c r="AQ196" i="3"/>
  <c r="L197" i="3"/>
  <c r="N197" i="3"/>
  <c r="O197" i="3"/>
  <c r="R197" i="3"/>
  <c r="U197" i="3"/>
  <c r="AH197" i="3"/>
  <c r="AJ197" i="3"/>
  <c r="AL197" i="3"/>
  <c r="AM197" i="3"/>
  <c r="AN197" i="3"/>
  <c r="AO197" i="3"/>
  <c r="AP197" i="3"/>
  <c r="AQ197" i="3"/>
  <c r="L198" i="3"/>
  <c r="N198" i="3"/>
  <c r="O198" i="3"/>
  <c r="R198" i="3"/>
  <c r="U198" i="3"/>
  <c r="AH198" i="3"/>
  <c r="AJ198" i="3"/>
  <c r="AL198" i="3"/>
  <c r="AM198" i="3"/>
  <c r="AN198" i="3"/>
  <c r="AO198" i="3"/>
  <c r="AP198" i="3"/>
  <c r="AQ198" i="3"/>
  <c r="L199" i="3"/>
  <c r="AN199" i="3" s="1"/>
  <c r="N199" i="3"/>
  <c r="O199" i="3"/>
  <c r="R199" i="3"/>
  <c r="U199" i="3"/>
  <c r="AH199" i="3"/>
  <c r="AJ199" i="3"/>
  <c r="AL199" i="3"/>
  <c r="AM199" i="3"/>
  <c r="AO199" i="3"/>
  <c r="AP199" i="3"/>
  <c r="AQ199" i="3"/>
  <c r="L200" i="3"/>
  <c r="AN200" i="3" s="1"/>
  <c r="N200" i="3"/>
  <c r="O200" i="3"/>
  <c r="R200" i="3"/>
  <c r="U200" i="3"/>
  <c r="AH200" i="3"/>
  <c r="AJ200" i="3"/>
  <c r="AL200" i="3"/>
  <c r="AM200" i="3"/>
  <c r="AO200" i="3"/>
  <c r="AP200" i="3"/>
  <c r="AQ200" i="3"/>
  <c r="L201" i="3"/>
  <c r="N201" i="3"/>
  <c r="O201" i="3"/>
  <c r="R201" i="3"/>
  <c r="U201" i="3"/>
  <c r="AH201" i="3"/>
  <c r="AJ201" i="3"/>
  <c r="AL201" i="3"/>
  <c r="AM201" i="3"/>
  <c r="AN201" i="3"/>
  <c r="AO201" i="3"/>
  <c r="AP201" i="3"/>
  <c r="AQ201" i="3"/>
  <c r="L202" i="3"/>
  <c r="AN202" i="3" s="1"/>
  <c r="N202" i="3"/>
  <c r="O202" i="3"/>
  <c r="R202" i="3"/>
  <c r="U202" i="3"/>
  <c r="AH202" i="3"/>
  <c r="AJ202" i="3"/>
  <c r="AL202" i="3"/>
  <c r="AM202" i="3"/>
  <c r="AO202" i="3"/>
  <c r="AP202" i="3"/>
  <c r="AQ202" i="3"/>
  <c r="L203" i="3"/>
  <c r="AN203" i="3" s="1"/>
  <c r="N203" i="3"/>
  <c r="O203" i="3"/>
  <c r="R203" i="3"/>
  <c r="U203" i="3"/>
  <c r="AH203" i="3"/>
  <c r="AJ203" i="3"/>
  <c r="AL203" i="3"/>
  <c r="AM203" i="3"/>
  <c r="AO203" i="3"/>
  <c r="AP203" i="3"/>
  <c r="AQ203" i="3"/>
  <c r="L204" i="3"/>
  <c r="AN204" i="3" s="1"/>
  <c r="N204" i="3"/>
  <c r="O204" i="3"/>
  <c r="R204" i="3"/>
  <c r="U204" i="3"/>
  <c r="AH204" i="3"/>
  <c r="AJ204" i="3"/>
  <c r="AL204" i="3"/>
  <c r="AM204" i="3"/>
  <c r="AO204" i="3"/>
  <c r="AP204" i="3"/>
  <c r="AQ204" i="3"/>
  <c r="L205" i="3"/>
  <c r="AN205" i="3" s="1"/>
  <c r="N205" i="3"/>
  <c r="O205" i="3"/>
  <c r="R205" i="3"/>
  <c r="U205" i="3"/>
  <c r="AH205" i="3"/>
  <c r="AJ205" i="3"/>
  <c r="AL205" i="3"/>
  <c r="AM205" i="3"/>
  <c r="AO205" i="3"/>
  <c r="AP205" i="3"/>
  <c r="AQ205" i="3"/>
  <c r="L206" i="3"/>
  <c r="AN206" i="3" s="1"/>
  <c r="N206" i="3"/>
  <c r="O206" i="3"/>
  <c r="R206" i="3"/>
  <c r="U206" i="3"/>
  <c r="AH206" i="3"/>
  <c r="AJ206" i="3"/>
  <c r="AL206" i="3"/>
  <c r="AM206" i="3"/>
  <c r="AO206" i="3"/>
  <c r="AP206" i="3"/>
  <c r="AQ206" i="3"/>
  <c r="L207" i="3"/>
  <c r="AN207" i="3" s="1"/>
  <c r="N207" i="3"/>
  <c r="O207" i="3"/>
  <c r="R207" i="3"/>
  <c r="U207" i="3"/>
  <c r="AH207" i="3"/>
  <c r="AJ207" i="3"/>
  <c r="AL207" i="3"/>
  <c r="AM207" i="3"/>
  <c r="AO207" i="3"/>
  <c r="AP207" i="3"/>
  <c r="AQ207" i="3"/>
  <c r="L208" i="3"/>
  <c r="R208" i="3" s="1"/>
  <c r="N208" i="3"/>
  <c r="O208" i="3"/>
  <c r="U208" i="3"/>
  <c r="AH208" i="3"/>
  <c r="AJ208" i="3"/>
  <c r="AL208" i="3"/>
  <c r="AM208" i="3"/>
  <c r="AN208" i="3"/>
  <c r="AO208" i="3"/>
  <c r="AP208" i="3"/>
  <c r="AQ208" i="3"/>
  <c r="L209" i="3"/>
  <c r="U209" i="3" s="1"/>
  <c r="N209" i="3"/>
  <c r="O209" i="3"/>
  <c r="R209" i="3"/>
  <c r="AH209" i="3"/>
  <c r="AJ209" i="3"/>
  <c r="AL209" i="3"/>
  <c r="AM209" i="3"/>
  <c r="AN209" i="3"/>
  <c r="AO209" i="3"/>
  <c r="AP209" i="3"/>
  <c r="AQ209" i="3"/>
  <c r="L210" i="3"/>
  <c r="N210" i="3"/>
  <c r="O210" i="3"/>
  <c r="R210" i="3"/>
  <c r="U210" i="3"/>
  <c r="AH210" i="3"/>
  <c r="AJ210" i="3"/>
  <c r="AL210" i="3"/>
  <c r="AM210" i="3"/>
  <c r="AN210" i="3"/>
  <c r="AO210" i="3"/>
  <c r="AP210" i="3"/>
  <c r="AQ210" i="3"/>
  <c r="L211" i="3"/>
  <c r="N211" i="3"/>
  <c r="O211" i="3"/>
  <c r="R211" i="3"/>
  <c r="U211" i="3"/>
  <c r="AH211" i="3"/>
  <c r="AJ211" i="3"/>
  <c r="AL211" i="3"/>
  <c r="AM211" i="3"/>
  <c r="AN211" i="3"/>
  <c r="AO211" i="3"/>
  <c r="AP211" i="3"/>
  <c r="AQ211" i="3"/>
  <c r="L212" i="3"/>
  <c r="R212" i="3" s="1"/>
  <c r="N212" i="3"/>
  <c r="O212" i="3"/>
  <c r="U212" i="3"/>
  <c r="AH212" i="3"/>
  <c r="AJ212" i="3"/>
  <c r="AL212" i="3"/>
  <c r="AM212" i="3"/>
  <c r="AN212" i="3"/>
  <c r="AO212" i="3"/>
  <c r="AP212" i="3"/>
  <c r="AQ212" i="3"/>
  <c r="L213" i="3"/>
  <c r="N213" i="3"/>
  <c r="O213" i="3"/>
  <c r="R213" i="3"/>
  <c r="U213" i="3"/>
  <c r="AH213" i="3"/>
  <c r="AJ213" i="3"/>
  <c r="AL213" i="3"/>
  <c r="AM213" i="3"/>
  <c r="AN213" i="3"/>
  <c r="AO213" i="3"/>
  <c r="AP213" i="3"/>
  <c r="AQ213" i="3"/>
  <c r="L214" i="3"/>
  <c r="R214" i="3" s="1"/>
  <c r="N214" i="3"/>
  <c r="O214" i="3"/>
  <c r="U214" i="3"/>
  <c r="AH214" i="3"/>
  <c r="AJ214" i="3"/>
  <c r="AL214" i="3"/>
  <c r="AM214" i="3"/>
  <c r="AN214" i="3"/>
  <c r="AO214" i="3"/>
  <c r="AP214" i="3"/>
  <c r="AQ214" i="3"/>
  <c r="L215" i="3"/>
  <c r="N215" i="3"/>
  <c r="O215" i="3"/>
  <c r="R215" i="3"/>
  <c r="U215" i="3"/>
  <c r="AH215" i="3"/>
  <c r="AJ215" i="3"/>
  <c r="AL215" i="3"/>
  <c r="AM215" i="3"/>
  <c r="AN215" i="3"/>
  <c r="AO215" i="3"/>
  <c r="AP215" i="3"/>
  <c r="AQ215" i="3"/>
  <c r="L216" i="3"/>
  <c r="AN216" i="3" s="1"/>
  <c r="N216" i="3"/>
  <c r="O216" i="3"/>
  <c r="R216" i="3"/>
  <c r="U216" i="3"/>
  <c r="AH216" i="3"/>
  <c r="AJ216" i="3"/>
  <c r="AL216" i="3"/>
  <c r="AM216" i="3"/>
  <c r="AO216" i="3"/>
  <c r="AP216" i="3"/>
  <c r="AQ216" i="3"/>
  <c r="L217" i="3"/>
  <c r="N217" i="3"/>
  <c r="O217" i="3"/>
  <c r="R217" i="3"/>
  <c r="U217" i="3"/>
  <c r="AH217" i="3"/>
  <c r="AJ217" i="3"/>
  <c r="AL217" i="3"/>
  <c r="AM217" i="3"/>
  <c r="AN217" i="3"/>
  <c r="AO217" i="3"/>
  <c r="AP217" i="3"/>
  <c r="AQ217" i="3"/>
  <c r="L88" i="3"/>
  <c r="R88" i="3" s="1"/>
  <c r="N88" i="3"/>
  <c r="O88" i="3"/>
  <c r="U88" i="3"/>
  <c r="AH88" i="3"/>
  <c r="AJ88" i="3"/>
  <c r="AL88" i="3"/>
  <c r="AM88" i="3"/>
  <c r="AN88" i="3"/>
  <c r="AO88" i="3"/>
  <c r="AP88" i="3"/>
  <c r="AQ88" i="3"/>
  <c r="L89" i="3"/>
  <c r="AL89" i="3" s="1"/>
  <c r="N89" i="3"/>
  <c r="O89" i="3"/>
  <c r="R89" i="3"/>
  <c r="U89" i="3"/>
  <c r="AH89" i="3"/>
  <c r="AJ89" i="3"/>
  <c r="AM89" i="3"/>
  <c r="AN89" i="3"/>
  <c r="AO89" i="3"/>
  <c r="AP89" i="3"/>
  <c r="AQ89" i="3"/>
  <c r="L90" i="3"/>
  <c r="AN90" i="3" s="1"/>
  <c r="N90" i="3"/>
  <c r="O90" i="3"/>
  <c r="R90" i="3"/>
  <c r="U90" i="3"/>
  <c r="AH90" i="3"/>
  <c r="AJ90" i="3"/>
  <c r="AL90" i="3"/>
  <c r="AM90" i="3"/>
  <c r="AO90" i="3"/>
  <c r="AP90" i="3"/>
  <c r="AQ90" i="3"/>
  <c r="L91" i="3"/>
  <c r="AN91" i="3" s="1"/>
  <c r="N91" i="3"/>
  <c r="O91" i="3"/>
  <c r="R91" i="3"/>
  <c r="U91" i="3"/>
  <c r="AH91" i="3"/>
  <c r="AJ91" i="3"/>
  <c r="AL91" i="3"/>
  <c r="AM91" i="3"/>
  <c r="AO91" i="3"/>
  <c r="AP91" i="3"/>
  <c r="AQ91" i="3"/>
  <c r="L92" i="3"/>
  <c r="N92" i="3" s="1"/>
  <c r="O92" i="3"/>
  <c r="R92" i="3"/>
  <c r="U92" i="3"/>
  <c r="AH92" i="3"/>
  <c r="AJ92" i="3"/>
  <c r="AL92" i="3"/>
  <c r="AM92" i="3"/>
  <c r="AN92" i="3"/>
  <c r="AO92" i="3"/>
  <c r="AP92" i="3"/>
  <c r="AQ92" i="3"/>
  <c r="L93" i="3"/>
  <c r="N93" i="3"/>
  <c r="O93" i="3"/>
  <c r="R93" i="3"/>
  <c r="U93" i="3"/>
  <c r="AH93" i="3"/>
  <c r="AJ93" i="3"/>
  <c r="AL93" i="3"/>
  <c r="AM93" i="3"/>
  <c r="AN93" i="3"/>
  <c r="AO93" i="3"/>
  <c r="AP93" i="3"/>
  <c r="AQ93" i="3"/>
  <c r="L94" i="3"/>
  <c r="N94" i="3" s="1"/>
  <c r="O94" i="3"/>
  <c r="R94" i="3"/>
  <c r="U94" i="3"/>
  <c r="AH94" i="3"/>
  <c r="AJ94" i="3"/>
  <c r="AL94" i="3"/>
  <c r="AM94" i="3"/>
  <c r="AN94" i="3"/>
  <c r="AO94" i="3"/>
  <c r="AP94" i="3"/>
  <c r="AQ94" i="3"/>
  <c r="L95" i="3"/>
  <c r="N95" i="3" s="1"/>
  <c r="O95" i="3"/>
  <c r="R95" i="3"/>
  <c r="U95" i="3"/>
  <c r="AH95" i="3"/>
  <c r="AJ95" i="3"/>
  <c r="AL95" i="3"/>
  <c r="AM95" i="3"/>
  <c r="AN95" i="3"/>
  <c r="AO95" i="3"/>
  <c r="AP95" i="3"/>
  <c r="AQ95" i="3"/>
  <c r="L96" i="3"/>
  <c r="N96" i="3" s="1"/>
  <c r="O96" i="3"/>
  <c r="R96" i="3"/>
  <c r="U96" i="3"/>
  <c r="AH96" i="3"/>
  <c r="AJ96" i="3"/>
  <c r="AL96" i="3"/>
  <c r="AM96" i="3"/>
  <c r="AN96" i="3"/>
  <c r="AO96" i="3"/>
  <c r="AP96" i="3"/>
  <c r="AQ96" i="3"/>
  <c r="L97" i="3"/>
  <c r="N97" i="3" s="1"/>
  <c r="O97" i="3"/>
  <c r="R97" i="3"/>
  <c r="U97" i="3"/>
  <c r="AH97" i="3"/>
  <c r="AJ97" i="3"/>
  <c r="AL97" i="3"/>
  <c r="AM97" i="3"/>
  <c r="AN97" i="3"/>
  <c r="AO97" i="3"/>
  <c r="AP97" i="3"/>
  <c r="AQ97" i="3"/>
  <c r="L98" i="3"/>
  <c r="AN98" i="3" s="1"/>
  <c r="N98" i="3"/>
  <c r="O98" i="3"/>
  <c r="R98" i="3"/>
  <c r="U98" i="3"/>
  <c r="AH98" i="3"/>
  <c r="AJ98" i="3"/>
  <c r="AL98" i="3"/>
  <c r="AM98" i="3"/>
  <c r="AO98" i="3"/>
  <c r="AP98" i="3"/>
  <c r="AQ98" i="3"/>
  <c r="L99" i="3"/>
  <c r="AN99" i="3" s="1"/>
  <c r="N99" i="3"/>
  <c r="O99" i="3"/>
  <c r="R99" i="3"/>
  <c r="U99" i="3"/>
  <c r="AH99" i="3"/>
  <c r="AJ99" i="3"/>
  <c r="AL99" i="3"/>
  <c r="AM99" i="3"/>
  <c r="AO99" i="3"/>
  <c r="AP99" i="3"/>
  <c r="AQ99" i="3"/>
  <c r="L100" i="3"/>
  <c r="AN100" i="3" s="1"/>
  <c r="N100" i="3"/>
  <c r="O100" i="3"/>
  <c r="R100" i="3"/>
  <c r="U100" i="3"/>
  <c r="AH100" i="3"/>
  <c r="AJ100" i="3"/>
  <c r="AL100" i="3"/>
  <c r="AM100" i="3"/>
  <c r="AO100" i="3"/>
  <c r="AP100" i="3"/>
  <c r="AQ100" i="3"/>
  <c r="L101" i="3"/>
  <c r="N101" i="3" s="1"/>
  <c r="O101" i="3"/>
  <c r="R101" i="3"/>
  <c r="U101" i="3"/>
  <c r="AH101" i="3"/>
  <c r="AJ101" i="3"/>
  <c r="AL101" i="3"/>
  <c r="AM101" i="3"/>
  <c r="AN101" i="3"/>
  <c r="AO101" i="3"/>
  <c r="AP101" i="3"/>
  <c r="AQ101" i="3"/>
  <c r="L102" i="3"/>
  <c r="N102" i="3" s="1"/>
  <c r="O102" i="3"/>
  <c r="R102" i="3"/>
  <c r="U102" i="3"/>
  <c r="AH102" i="3"/>
  <c r="AJ102" i="3"/>
  <c r="AL102" i="3"/>
  <c r="AM102" i="3"/>
  <c r="AN102" i="3"/>
  <c r="AO102" i="3"/>
  <c r="AP102" i="3"/>
  <c r="AQ102" i="3"/>
  <c r="L103" i="3"/>
  <c r="AN103" i="3" s="1"/>
  <c r="N103" i="3"/>
  <c r="O103" i="3"/>
  <c r="R103" i="3"/>
  <c r="U103" i="3"/>
  <c r="AH103" i="3"/>
  <c r="AJ103" i="3"/>
  <c r="AL103" i="3"/>
  <c r="AM103" i="3"/>
  <c r="AO103" i="3"/>
  <c r="AP103" i="3"/>
  <c r="AQ103" i="3"/>
  <c r="L104" i="3"/>
  <c r="AN104" i="3" s="1"/>
  <c r="N104" i="3"/>
  <c r="O104" i="3"/>
  <c r="R104" i="3"/>
  <c r="U104" i="3"/>
  <c r="AH104" i="3"/>
  <c r="AJ104" i="3"/>
  <c r="AL104" i="3"/>
  <c r="AM104" i="3"/>
  <c r="AO104" i="3"/>
  <c r="AP104" i="3"/>
  <c r="AQ104" i="3"/>
  <c r="L105" i="3"/>
  <c r="N105" i="3" s="1"/>
  <c r="O105" i="3"/>
  <c r="R105" i="3"/>
  <c r="U105" i="3"/>
  <c r="AH105" i="3"/>
  <c r="AJ105" i="3"/>
  <c r="AL105" i="3"/>
  <c r="AM105" i="3"/>
  <c r="AN105" i="3"/>
  <c r="AO105" i="3"/>
  <c r="AP105" i="3"/>
  <c r="AQ105" i="3"/>
  <c r="L106" i="3"/>
  <c r="N106" i="3" s="1"/>
  <c r="O106" i="3"/>
  <c r="R106" i="3"/>
  <c r="U106" i="3"/>
  <c r="AH106" i="3"/>
  <c r="AJ106" i="3"/>
  <c r="AL106" i="3"/>
  <c r="AM106" i="3"/>
  <c r="AN106" i="3"/>
  <c r="AO106" i="3"/>
  <c r="AP106" i="3"/>
  <c r="AQ106" i="3"/>
  <c r="L107" i="3"/>
  <c r="N107" i="3"/>
  <c r="O107" i="3"/>
  <c r="R107" i="3"/>
  <c r="U107" i="3"/>
  <c r="AH107" i="3"/>
  <c r="AJ107" i="3"/>
  <c r="AL107" i="3"/>
  <c r="AM107" i="3"/>
  <c r="AN107" i="3"/>
  <c r="AO107" i="3"/>
  <c r="AP107" i="3"/>
  <c r="AQ107" i="3"/>
  <c r="L108" i="3"/>
  <c r="N108" i="3" s="1"/>
  <c r="O108" i="3"/>
  <c r="R108" i="3"/>
  <c r="U108" i="3"/>
  <c r="AH108" i="3"/>
  <c r="AJ108" i="3"/>
  <c r="AL108" i="3"/>
  <c r="AM108" i="3"/>
  <c r="AN108" i="3"/>
  <c r="AO108" i="3"/>
  <c r="AP108" i="3"/>
  <c r="AQ108" i="3"/>
  <c r="L109" i="3"/>
  <c r="N109" i="3" s="1"/>
  <c r="O109" i="3"/>
  <c r="R109" i="3"/>
  <c r="U109" i="3"/>
  <c r="AH109" i="3"/>
  <c r="AJ109" i="3"/>
  <c r="AL109" i="3"/>
  <c r="AM109" i="3"/>
  <c r="AN109" i="3"/>
  <c r="AO109" i="3"/>
  <c r="AP109" i="3"/>
  <c r="AQ109" i="3"/>
  <c r="L110" i="3"/>
  <c r="N110" i="3" s="1"/>
  <c r="O110" i="3"/>
  <c r="R110" i="3"/>
  <c r="U110" i="3"/>
  <c r="AH110" i="3"/>
  <c r="AJ110" i="3"/>
  <c r="AL110" i="3"/>
  <c r="AM110" i="3"/>
  <c r="AN110" i="3"/>
  <c r="AO110" i="3"/>
  <c r="AP110" i="3"/>
  <c r="AQ110" i="3"/>
  <c r="L111" i="3"/>
  <c r="N111" i="3" s="1"/>
  <c r="O111" i="3"/>
  <c r="R111" i="3"/>
  <c r="U111" i="3"/>
  <c r="AH111" i="3"/>
  <c r="AJ111" i="3"/>
  <c r="AL111" i="3"/>
  <c r="AM111" i="3"/>
  <c r="AN111" i="3"/>
  <c r="AO111" i="3"/>
  <c r="AP111" i="3"/>
  <c r="AQ111" i="3"/>
  <c r="L112" i="3"/>
  <c r="N112" i="3" s="1"/>
  <c r="O112" i="3"/>
  <c r="R112" i="3"/>
  <c r="U112" i="3"/>
  <c r="AH112" i="3"/>
  <c r="AJ112" i="3"/>
  <c r="AL112" i="3"/>
  <c r="AM112" i="3"/>
  <c r="AN112" i="3"/>
  <c r="AO112" i="3"/>
  <c r="AP112" i="3"/>
  <c r="AQ112" i="3"/>
  <c r="L113" i="3"/>
  <c r="N113" i="3" s="1"/>
  <c r="O113" i="3"/>
  <c r="R113" i="3"/>
  <c r="U113" i="3"/>
  <c r="AH113" i="3"/>
  <c r="AJ113" i="3"/>
  <c r="AL113" i="3"/>
  <c r="AM113" i="3"/>
  <c r="AN113" i="3"/>
  <c r="AO113" i="3"/>
  <c r="AP113" i="3"/>
  <c r="AQ113" i="3"/>
  <c r="L114" i="3"/>
  <c r="AN114" i="3" s="1"/>
  <c r="N114" i="3"/>
  <c r="O114" i="3"/>
  <c r="R114" i="3"/>
  <c r="U114" i="3"/>
  <c r="AH114" i="3"/>
  <c r="AJ114" i="3"/>
  <c r="AL114" i="3"/>
  <c r="AM114" i="3"/>
  <c r="AO114" i="3"/>
  <c r="AP114" i="3"/>
  <c r="AQ114" i="3"/>
  <c r="L115" i="3"/>
  <c r="R115" i="3" s="1"/>
  <c r="N115" i="3"/>
  <c r="O115" i="3"/>
  <c r="U115" i="3"/>
  <c r="AH115" i="3"/>
  <c r="AJ115" i="3"/>
  <c r="AL115" i="3"/>
  <c r="AM115" i="3"/>
  <c r="AN115" i="3"/>
  <c r="AO115" i="3"/>
  <c r="AP115" i="3"/>
  <c r="AQ115" i="3"/>
  <c r="L116" i="3"/>
  <c r="N116" i="3"/>
  <c r="O116" i="3"/>
  <c r="R116" i="3"/>
  <c r="U116" i="3"/>
  <c r="AH116" i="3"/>
  <c r="AJ116" i="3"/>
  <c r="AL116" i="3"/>
  <c r="AM116" i="3"/>
  <c r="AN116" i="3"/>
  <c r="AO116" i="3"/>
  <c r="AP116" i="3"/>
  <c r="AQ116" i="3"/>
  <c r="L117" i="3"/>
  <c r="R117" i="3" s="1"/>
  <c r="N117" i="3"/>
  <c r="O117" i="3"/>
  <c r="U117" i="3"/>
  <c r="AH117" i="3"/>
  <c r="AJ117" i="3"/>
  <c r="AL117" i="3"/>
  <c r="AM117" i="3"/>
  <c r="AN117" i="3"/>
  <c r="AO117" i="3"/>
  <c r="AP117" i="3"/>
  <c r="AQ117" i="3"/>
  <c r="L118" i="3"/>
  <c r="N118" i="3" s="1"/>
  <c r="O118" i="3"/>
  <c r="R118" i="3"/>
  <c r="U118" i="3"/>
  <c r="AH118" i="3"/>
  <c r="AJ118" i="3"/>
  <c r="AL118" i="3"/>
  <c r="AM118" i="3"/>
  <c r="AN118" i="3"/>
  <c r="AO118" i="3"/>
  <c r="AP118" i="3"/>
  <c r="AQ118" i="3"/>
  <c r="L119" i="3"/>
  <c r="AN119" i="3" s="1"/>
  <c r="N119" i="3"/>
  <c r="O119" i="3"/>
  <c r="R119" i="3"/>
  <c r="U119" i="3"/>
  <c r="AH119" i="3"/>
  <c r="AJ119" i="3"/>
  <c r="AL119" i="3"/>
  <c r="AM119" i="3"/>
  <c r="AO119" i="3"/>
  <c r="AP119" i="3"/>
  <c r="AQ119" i="3"/>
  <c r="L120" i="3"/>
  <c r="N120" i="3" s="1"/>
  <c r="O120" i="3"/>
  <c r="R120" i="3"/>
  <c r="U120" i="3"/>
  <c r="AH120" i="3"/>
  <c r="AJ120" i="3"/>
  <c r="AL120" i="3"/>
  <c r="AM120" i="3"/>
  <c r="AN120" i="3"/>
  <c r="AO120" i="3"/>
  <c r="AP120" i="3"/>
  <c r="AQ120" i="3"/>
  <c r="L121" i="3"/>
  <c r="R121" i="3" s="1"/>
  <c r="N121" i="3"/>
  <c r="O121" i="3"/>
  <c r="U121" i="3"/>
  <c r="AH121" i="3"/>
  <c r="AJ121" i="3"/>
  <c r="AL121" i="3"/>
  <c r="AM121" i="3"/>
  <c r="AN121" i="3"/>
  <c r="AO121" i="3"/>
  <c r="AP121" i="3"/>
  <c r="AQ121" i="3"/>
  <c r="L122" i="3"/>
  <c r="N122" i="3" s="1"/>
  <c r="O122" i="3"/>
  <c r="R122" i="3"/>
  <c r="U122" i="3"/>
  <c r="AH122" i="3"/>
  <c r="AJ122" i="3"/>
  <c r="AL122" i="3"/>
  <c r="AM122" i="3"/>
  <c r="AN122" i="3"/>
  <c r="AO122" i="3"/>
  <c r="AP122" i="3"/>
  <c r="AQ122" i="3"/>
  <c r="L123" i="3"/>
  <c r="N123" i="3" s="1"/>
  <c r="O123" i="3"/>
  <c r="R123" i="3"/>
  <c r="U123" i="3"/>
  <c r="AH123" i="3"/>
  <c r="AJ123" i="3"/>
  <c r="AL123" i="3"/>
  <c r="AM123" i="3"/>
  <c r="AN123" i="3"/>
  <c r="AO123" i="3"/>
  <c r="AP123" i="3"/>
  <c r="AQ123" i="3"/>
  <c r="L124" i="3"/>
  <c r="N124" i="3" s="1"/>
  <c r="O124" i="3"/>
  <c r="R124" i="3"/>
  <c r="U124" i="3"/>
  <c r="AH124" i="3"/>
  <c r="AJ124" i="3"/>
  <c r="AL124" i="3"/>
  <c r="AM124" i="3"/>
  <c r="AN124" i="3"/>
  <c r="AO124" i="3"/>
  <c r="AP124" i="3"/>
  <c r="AQ124" i="3"/>
  <c r="L125" i="3"/>
  <c r="N125" i="3" s="1"/>
  <c r="O125" i="3"/>
  <c r="R125" i="3"/>
  <c r="U125" i="3"/>
  <c r="AH125" i="3"/>
  <c r="AJ125" i="3"/>
  <c r="AL125" i="3"/>
  <c r="AM125" i="3"/>
  <c r="AN125" i="3"/>
  <c r="AO125" i="3"/>
  <c r="AP125" i="3"/>
  <c r="AQ125" i="3"/>
  <c r="L126" i="3"/>
  <c r="R126" i="3" s="1"/>
  <c r="N126" i="3"/>
  <c r="O126" i="3"/>
  <c r="U126" i="3"/>
  <c r="AH126" i="3"/>
  <c r="AJ126" i="3"/>
  <c r="AL126" i="3"/>
  <c r="AM126" i="3"/>
  <c r="AN126" i="3"/>
  <c r="AO126" i="3"/>
  <c r="AP126" i="3"/>
  <c r="AQ126" i="3"/>
  <c r="L127" i="3"/>
  <c r="N127" i="3" s="1"/>
  <c r="O127" i="3"/>
  <c r="R127" i="3"/>
  <c r="U127" i="3"/>
  <c r="AH127" i="3"/>
  <c r="AJ127" i="3"/>
  <c r="AL127" i="3"/>
  <c r="AM127" i="3"/>
  <c r="AN127" i="3"/>
  <c r="AO127" i="3"/>
  <c r="AP127" i="3"/>
  <c r="AQ127" i="3"/>
  <c r="L128" i="3"/>
  <c r="N128" i="3" s="1"/>
  <c r="O128" i="3"/>
  <c r="R128" i="3"/>
  <c r="U128" i="3"/>
  <c r="AH128" i="3"/>
  <c r="AJ128" i="3"/>
  <c r="AL128" i="3"/>
  <c r="AM128" i="3"/>
  <c r="AN128" i="3"/>
  <c r="AO128" i="3"/>
  <c r="AP128" i="3"/>
  <c r="AQ128" i="3"/>
  <c r="L129" i="3"/>
  <c r="N129" i="3"/>
  <c r="O129" i="3"/>
  <c r="R129" i="3"/>
  <c r="U129" i="3"/>
  <c r="AH129" i="3"/>
  <c r="AJ129" i="3"/>
  <c r="AL129" i="3"/>
  <c r="AM129" i="3"/>
  <c r="AN129" i="3"/>
  <c r="AO129" i="3"/>
  <c r="AP129" i="3"/>
  <c r="AQ129" i="3"/>
  <c r="L130" i="3"/>
  <c r="N130" i="3" s="1"/>
  <c r="O130" i="3"/>
  <c r="R130" i="3"/>
  <c r="U130" i="3"/>
  <c r="AH130" i="3"/>
  <c r="AJ130" i="3"/>
  <c r="AL130" i="3"/>
  <c r="AM130" i="3"/>
  <c r="AN130" i="3"/>
  <c r="AO130" i="3"/>
  <c r="AP130" i="3"/>
  <c r="AQ130" i="3"/>
  <c r="L131" i="3"/>
  <c r="R131" i="3" s="1"/>
  <c r="N131" i="3"/>
  <c r="O131" i="3"/>
  <c r="U131" i="3"/>
  <c r="AH131" i="3"/>
  <c r="AJ131" i="3"/>
  <c r="AL131" i="3"/>
  <c r="AM131" i="3"/>
  <c r="AN131" i="3"/>
  <c r="AO131" i="3"/>
  <c r="AP131" i="3"/>
  <c r="AQ131" i="3"/>
  <c r="L132" i="3"/>
  <c r="AN132" i="3" s="1"/>
  <c r="N132" i="3"/>
  <c r="O132" i="3"/>
  <c r="R132" i="3"/>
  <c r="U132" i="3"/>
  <c r="AH132" i="3"/>
  <c r="AJ132" i="3"/>
  <c r="AL132" i="3"/>
  <c r="AM132" i="3"/>
  <c r="AO132" i="3"/>
  <c r="AP132" i="3"/>
  <c r="AQ132" i="3"/>
  <c r="L133" i="3"/>
  <c r="N133" i="3"/>
  <c r="O133" i="3"/>
  <c r="R133" i="3"/>
  <c r="U133" i="3"/>
  <c r="AH133" i="3"/>
  <c r="AJ133" i="3"/>
  <c r="AL133" i="3"/>
  <c r="AM133" i="3"/>
  <c r="AN133" i="3"/>
  <c r="AO133" i="3"/>
  <c r="AP133" i="3"/>
  <c r="AQ133" i="3"/>
  <c r="L134" i="3"/>
  <c r="N134" i="3"/>
  <c r="O134" i="3"/>
  <c r="R134" i="3"/>
  <c r="U134" i="3"/>
  <c r="AH134" i="3"/>
  <c r="AJ134" i="3"/>
  <c r="AL134" i="3"/>
  <c r="AM134" i="3"/>
  <c r="AN134" i="3"/>
  <c r="AO134" i="3"/>
  <c r="AP134" i="3"/>
  <c r="AQ134" i="3"/>
  <c r="L135" i="3"/>
  <c r="N135" i="3"/>
  <c r="O135" i="3"/>
  <c r="R135" i="3"/>
  <c r="U135" i="3"/>
  <c r="AH135" i="3"/>
  <c r="AJ135" i="3"/>
  <c r="AL135" i="3"/>
  <c r="AM135" i="3"/>
  <c r="AN135" i="3"/>
  <c r="AO135" i="3"/>
  <c r="AP135" i="3"/>
  <c r="AQ135" i="3"/>
  <c r="L136" i="3"/>
  <c r="AN136" i="3" s="1"/>
  <c r="N136" i="3"/>
  <c r="O136" i="3"/>
  <c r="R136" i="3"/>
  <c r="U136" i="3"/>
  <c r="AH136" i="3"/>
  <c r="AJ136" i="3"/>
  <c r="AL136" i="3"/>
  <c r="AM136" i="3"/>
  <c r="AO136" i="3"/>
  <c r="AP136" i="3"/>
  <c r="AQ136" i="3"/>
  <c r="L137" i="3"/>
  <c r="AL137" i="3" s="1"/>
  <c r="N137" i="3"/>
  <c r="O137" i="3"/>
  <c r="R137" i="3"/>
  <c r="U137" i="3"/>
  <c r="AH137" i="3"/>
  <c r="AJ137" i="3"/>
  <c r="AM137" i="3"/>
  <c r="AN137" i="3"/>
  <c r="AO137" i="3"/>
  <c r="AP137" i="3"/>
  <c r="AQ137" i="3"/>
  <c r="L138" i="3"/>
  <c r="AL138" i="3" s="1"/>
  <c r="N138" i="3"/>
  <c r="O138" i="3"/>
  <c r="R138" i="3"/>
  <c r="U138" i="3"/>
  <c r="AH138" i="3"/>
  <c r="AJ138" i="3"/>
  <c r="AM138" i="3"/>
  <c r="AN138" i="3"/>
  <c r="AO138" i="3"/>
  <c r="AP138" i="3"/>
  <c r="AQ138" i="3"/>
  <c r="L139" i="3"/>
  <c r="AL139" i="3" s="1"/>
  <c r="N139" i="3"/>
  <c r="O139" i="3"/>
  <c r="R139" i="3"/>
  <c r="U139" i="3"/>
  <c r="AH139" i="3"/>
  <c r="AJ139" i="3"/>
  <c r="AM139" i="3"/>
  <c r="AN139" i="3"/>
  <c r="AO139" i="3"/>
  <c r="AP139" i="3"/>
  <c r="AQ139" i="3"/>
  <c r="L140" i="3"/>
  <c r="N140" i="3" s="1"/>
  <c r="O140" i="3"/>
  <c r="R140" i="3"/>
  <c r="U140" i="3"/>
  <c r="AH140" i="3"/>
  <c r="AJ140" i="3"/>
  <c r="AL140" i="3"/>
  <c r="AM140" i="3"/>
  <c r="AN140" i="3"/>
  <c r="AO140" i="3"/>
  <c r="AP140" i="3"/>
  <c r="AQ140" i="3"/>
  <c r="L141" i="3"/>
  <c r="AQ141" i="3" s="1"/>
  <c r="N141" i="3"/>
  <c r="O141" i="3"/>
  <c r="R141" i="3"/>
  <c r="U141" i="3"/>
  <c r="AH141" i="3"/>
  <c r="AJ141" i="3"/>
  <c r="AL141" i="3"/>
  <c r="AM141" i="3"/>
  <c r="AN141" i="3"/>
  <c r="AO141" i="3"/>
  <c r="AP141" i="3"/>
  <c r="L142" i="3"/>
  <c r="AQ142" i="3" s="1"/>
  <c r="N142" i="3"/>
  <c r="O142" i="3"/>
  <c r="R142" i="3"/>
  <c r="U142" i="3"/>
  <c r="AH142" i="3"/>
  <c r="AJ142" i="3"/>
  <c r="AL142" i="3"/>
  <c r="AM142" i="3"/>
  <c r="AN142" i="3"/>
  <c r="AO142" i="3"/>
  <c r="AP142" i="3"/>
  <c r="L143" i="3"/>
  <c r="AQ143" i="3" s="1"/>
  <c r="N143" i="3"/>
  <c r="O143" i="3"/>
  <c r="R143" i="3"/>
  <c r="U143" i="3"/>
  <c r="AH143" i="3"/>
  <c r="AJ143" i="3"/>
  <c r="AL143" i="3"/>
  <c r="AM143" i="3"/>
  <c r="AN143" i="3"/>
  <c r="AO143" i="3"/>
  <c r="AP143" i="3"/>
  <c r="L144" i="3"/>
  <c r="AQ144" i="3" s="1"/>
  <c r="N144" i="3"/>
  <c r="O144" i="3"/>
  <c r="R144" i="3"/>
  <c r="U144" i="3"/>
  <c r="AH144" i="3"/>
  <c r="AJ144" i="3"/>
  <c r="AL144" i="3"/>
  <c r="AM144" i="3"/>
  <c r="AN144" i="3"/>
  <c r="AO144" i="3"/>
  <c r="AP144" i="3"/>
  <c r="L145" i="3"/>
  <c r="AN145" i="3" s="1"/>
  <c r="N145" i="3"/>
  <c r="O145" i="3"/>
  <c r="R145" i="3"/>
  <c r="U145" i="3"/>
  <c r="AH145" i="3"/>
  <c r="AJ145" i="3"/>
  <c r="AL145" i="3"/>
  <c r="AM145" i="3"/>
  <c r="AO145" i="3"/>
  <c r="AP145" i="3"/>
  <c r="AQ145" i="3"/>
  <c r="L146" i="3"/>
  <c r="AN146" i="3" s="1"/>
  <c r="N146" i="3"/>
  <c r="O146" i="3"/>
  <c r="R146" i="3"/>
  <c r="U146" i="3"/>
  <c r="AH146" i="3"/>
  <c r="AJ146" i="3"/>
  <c r="AL146" i="3"/>
  <c r="AM146" i="3"/>
  <c r="AO146" i="3"/>
  <c r="AP146" i="3"/>
  <c r="AQ146" i="3"/>
  <c r="L147" i="3"/>
  <c r="AN147" i="3" s="1"/>
  <c r="N147" i="3"/>
  <c r="O147" i="3"/>
  <c r="R147" i="3"/>
  <c r="U147" i="3"/>
  <c r="AH147" i="3"/>
  <c r="AJ147" i="3"/>
  <c r="AL147" i="3"/>
  <c r="AM147" i="3"/>
  <c r="AO147" i="3"/>
  <c r="AP147" i="3"/>
  <c r="AQ147" i="3"/>
  <c r="L148" i="3"/>
  <c r="N148" i="3"/>
  <c r="O148" i="3"/>
  <c r="R148" i="3"/>
  <c r="U148" i="3"/>
  <c r="AH148" i="3"/>
  <c r="AJ148" i="3"/>
  <c r="AL148" i="3"/>
  <c r="AM148" i="3"/>
  <c r="AN148" i="3"/>
  <c r="AO148" i="3"/>
  <c r="AP148" i="3"/>
  <c r="AQ148" i="3"/>
  <c r="L149" i="3"/>
  <c r="N149" i="3"/>
  <c r="O149" i="3"/>
  <c r="R149" i="3"/>
  <c r="U149" i="3"/>
  <c r="AH149" i="3"/>
  <c r="AJ149" i="3"/>
  <c r="AL149" i="3"/>
  <c r="AM149" i="3"/>
  <c r="AN149" i="3"/>
  <c r="AO149" i="3"/>
  <c r="AP149" i="3"/>
  <c r="AQ149" i="3"/>
  <c r="L83" i="3"/>
  <c r="N83" i="3" s="1"/>
  <c r="O83" i="3"/>
  <c r="R83" i="3"/>
  <c r="U83" i="3"/>
  <c r="AH83" i="3"/>
  <c r="AJ83" i="3"/>
  <c r="AL83" i="3"/>
  <c r="AM83" i="3"/>
  <c r="AN83" i="3"/>
  <c r="AO83" i="3"/>
  <c r="AP83" i="3"/>
  <c r="AQ83" i="3"/>
  <c r="L84" i="3"/>
  <c r="N84" i="3"/>
  <c r="O84" i="3"/>
  <c r="R84" i="3"/>
  <c r="U84" i="3"/>
  <c r="AH84" i="3"/>
  <c r="AJ84" i="3"/>
  <c r="AL84" i="3"/>
  <c r="AM84" i="3"/>
  <c r="AN84" i="3"/>
  <c r="AO84" i="3"/>
  <c r="AP84" i="3"/>
  <c r="AQ84" i="3"/>
  <c r="L85" i="3"/>
  <c r="N85" i="3"/>
  <c r="O85" i="3"/>
  <c r="R85" i="3"/>
  <c r="U85" i="3"/>
  <c r="AH85" i="3"/>
  <c r="AJ85" i="3"/>
  <c r="AL85" i="3"/>
  <c r="AM85" i="3"/>
  <c r="AN85" i="3"/>
  <c r="AO85" i="3"/>
  <c r="AP85" i="3"/>
  <c r="AQ85" i="3"/>
  <c r="L86" i="3"/>
  <c r="N86" i="3"/>
  <c r="O86" i="3"/>
  <c r="R86" i="3"/>
  <c r="U86" i="3"/>
  <c r="AH86" i="3"/>
  <c r="AJ86" i="3"/>
  <c r="AL86" i="3"/>
  <c r="AM86" i="3"/>
  <c r="AN86" i="3"/>
  <c r="AO86" i="3"/>
  <c r="AP86" i="3"/>
  <c r="AQ86" i="3"/>
  <c r="L87" i="3"/>
  <c r="N87" i="3" s="1"/>
  <c r="O87" i="3"/>
  <c r="R87" i="3"/>
  <c r="U87" i="3"/>
  <c r="AH87" i="3"/>
  <c r="AJ87" i="3"/>
  <c r="AL87" i="3"/>
  <c r="AM87" i="3"/>
  <c r="AN87" i="3"/>
  <c r="AO87" i="3"/>
  <c r="AP87" i="3"/>
  <c r="AQ87" i="3"/>
  <c r="Q194" i="3" l="1"/>
  <c r="M194" i="3" s="1"/>
  <c r="Q203" i="3"/>
  <c r="M203" i="3" s="1"/>
  <c r="Q189" i="3"/>
  <c r="M189" i="3" s="1"/>
  <c r="Q173" i="3"/>
  <c r="M173" i="3" s="1"/>
  <c r="Q162" i="3"/>
  <c r="M162" i="3" s="1"/>
  <c r="Q206" i="3"/>
  <c r="M206" i="3" s="1"/>
  <c r="Q195" i="3"/>
  <c r="M195" i="3" s="1"/>
  <c r="Q217" i="3"/>
  <c r="M217" i="3" s="1"/>
  <c r="Q202" i="3"/>
  <c r="M202" i="3" s="1"/>
  <c r="Q200" i="3"/>
  <c r="M200" i="3" s="1"/>
  <c r="Q171" i="3"/>
  <c r="M171" i="3" s="1"/>
  <c r="Q157" i="3"/>
  <c r="M157" i="3" s="1"/>
  <c r="Q213" i="3"/>
  <c r="M213" i="3" s="1"/>
  <c r="Q207" i="3"/>
  <c r="M207" i="3" s="1"/>
  <c r="Q214" i="3"/>
  <c r="M214" i="3" s="1"/>
  <c r="Q187" i="3"/>
  <c r="M187" i="3" s="1"/>
  <c r="Q216" i="3"/>
  <c r="M216" i="3" s="1"/>
  <c r="Q209" i="3"/>
  <c r="M209" i="3" s="1"/>
  <c r="Q198" i="3"/>
  <c r="M198" i="3" s="1"/>
  <c r="Q196" i="3"/>
  <c r="M196" i="3" s="1"/>
  <c r="Q204" i="3"/>
  <c r="M204" i="3" s="1"/>
  <c r="Q201" i="3"/>
  <c r="M201" i="3" s="1"/>
  <c r="Q197" i="3"/>
  <c r="M197" i="3" s="1"/>
  <c r="Q215" i="3"/>
  <c r="M215" i="3" s="1"/>
  <c r="Q211" i="3"/>
  <c r="M211" i="3" s="1"/>
  <c r="Q212" i="3"/>
  <c r="M212" i="3" s="1"/>
  <c r="Q208" i="3"/>
  <c r="M208" i="3" s="1"/>
  <c r="Q210" i="3"/>
  <c r="M210" i="3" s="1"/>
  <c r="Q205" i="3"/>
  <c r="M205" i="3" s="1"/>
  <c r="Q199" i="3"/>
  <c r="M199" i="3" s="1"/>
  <c r="Q193" i="3"/>
  <c r="M193" i="3" s="1"/>
  <c r="Q192" i="3"/>
  <c r="M192" i="3" s="1"/>
  <c r="Q191" i="3"/>
  <c r="M191" i="3" s="1"/>
  <c r="Q190" i="3"/>
  <c r="M190" i="3" s="1"/>
  <c r="Q188" i="3"/>
  <c r="M188" i="3" s="1"/>
  <c r="Q186" i="3"/>
  <c r="M186" i="3" s="1"/>
  <c r="Q185" i="3"/>
  <c r="M185" i="3" s="1"/>
  <c r="Q184" i="3"/>
  <c r="M184" i="3" s="1"/>
  <c r="Q183" i="3"/>
  <c r="M183" i="3" s="1"/>
  <c r="Q182" i="3"/>
  <c r="M182" i="3" s="1"/>
  <c r="Q181" i="3"/>
  <c r="M181" i="3" s="1"/>
  <c r="Q180" i="3"/>
  <c r="M180" i="3" s="1"/>
  <c r="Q179" i="3"/>
  <c r="M179" i="3" s="1"/>
  <c r="Q178" i="3"/>
  <c r="M178" i="3" s="1"/>
  <c r="Q177" i="3"/>
  <c r="M177" i="3" s="1"/>
  <c r="Q176" i="3"/>
  <c r="M176" i="3" s="1"/>
  <c r="Q175" i="3"/>
  <c r="M175" i="3" s="1"/>
  <c r="Q174" i="3"/>
  <c r="M174" i="3" s="1"/>
  <c r="Q172" i="3"/>
  <c r="M172" i="3" s="1"/>
  <c r="Q170" i="3"/>
  <c r="M170" i="3" s="1"/>
  <c r="Q169" i="3"/>
  <c r="M169" i="3" s="1"/>
  <c r="Q168" i="3"/>
  <c r="M168" i="3" s="1"/>
  <c r="Q167" i="3"/>
  <c r="M167" i="3" s="1"/>
  <c r="Q166" i="3"/>
  <c r="M166" i="3" s="1"/>
  <c r="Q165" i="3"/>
  <c r="M165" i="3" s="1"/>
  <c r="Q164" i="3"/>
  <c r="M164" i="3" s="1"/>
  <c r="Q163" i="3"/>
  <c r="M163" i="3" s="1"/>
  <c r="Q161" i="3"/>
  <c r="M161" i="3" s="1"/>
  <c r="Q160" i="3"/>
  <c r="M160" i="3" s="1"/>
  <c r="Q159" i="3"/>
  <c r="M159" i="3" s="1"/>
  <c r="Q158" i="3"/>
  <c r="M158" i="3" s="1"/>
  <c r="Q156" i="3"/>
  <c r="M156" i="3" s="1"/>
  <c r="Q155" i="3"/>
  <c r="M155" i="3" s="1"/>
  <c r="Q154" i="3"/>
  <c r="M154" i="3" s="1"/>
  <c r="Q153" i="3"/>
  <c r="M153" i="3" s="1"/>
  <c r="Q152" i="3"/>
  <c r="M152" i="3" s="1"/>
  <c r="Q151" i="3"/>
  <c r="M151" i="3" s="1"/>
  <c r="Q150" i="3"/>
  <c r="M150" i="3" s="1"/>
  <c r="Q93" i="3"/>
  <c r="M93" i="3" s="1"/>
  <c r="Q149" i="3"/>
  <c r="M149" i="3" s="1"/>
  <c r="Q133" i="3"/>
  <c r="M133" i="3" s="1"/>
  <c r="Q111" i="3"/>
  <c r="M111" i="3" s="1"/>
  <c r="Q143" i="3"/>
  <c r="M143" i="3" s="1"/>
  <c r="Q134" i="3"/>
  <c r="M134" i="3" s="1"/>
  <c r="Q95" i="3"/>
  <c r="M95" i="3" s="1"/>
  <c r="Q125" i="3"/>
  <c r="M125" i="3" s="1"/>
  <c r="Q109" i="3"/>
  <c r="M109" i="3" s="1"/>
  <c r="Q127" i="3"/>
  <c r="M127" i="3" s="1"/>
  <c r="Q141" i="3"/>
  <c r="M141" i="3" s="1"/>
  <c r="Q148" i="3"/>
  <c r="M148" i="3" s="1"/>
  <c r="Q147" i="3"/>
  <c r="M147" i="3" s="1"/>
  <c r="Q146" i="3"/>
  <c r="M146" i="3" s="1"/>
  <c r="Q145" i="3"/>
  <c r="M145" i="3" s="1"/>
  <c r="Q144" i="3"/>
  <c r="M144" i="3" s="1"/>
  <c r="Q142" i="3"/>
  <c r="M142" i="3" s="1"/>
  <c r="Q140" i="3"/>
  <c r="M140" i="3" s="1"/>
  <c r="Q139" i="3"/>
  <c r="M139" i="3" s="1"/>
  <c r="Q138" i="3"/>
  <c r="M138" i="3" s="1"/>
  <c r="Q137" i="3"/>
  <c r="M137" i="3" s="1"/>
  <c r="Q136" i="3"/>
  <c r="M136" i="3" s="1"/>
  <c r="Q135" i="3"/>
  <c r="M135" i="3" s="1"/>
  <c r="Q132" i="3"/>
  <c r="M132" i="3" s="1"/>
  <c r="Q131" i="3"/>
  <c r="M131" i="3" s="1"/>
  <c r="Q130" i="3"/>
  <c r="M130" i="3" s="1"/>
  <c r="Q129" i="3"/>
  <c r="M129" i="3" s="1"/>
  <c r="Q128" i="3"/>
  <c r="M128" i="3" s="1"/>
  <c r="Q126" i="3"/>
  <c r="M126" i="3" s="1"/>
  <c r="Q124" i="3"/>
  <c r="M124" i="3" s="1"/>
  <c r="Q123" i="3"/>
  <c r="M123" i="3" s="1"/>
  <c r="Q122" i="3"/>
  <c r="M122" i="3" s="1"/>
  <c r="Q121" i="3"/>
  <c r="M121" i="3" s="1"/>
  <c r="Q120" i="3"/>
  <c r="M120" i="3" s="1"/>
  <c r="Q119" i="3"/>
  <c r="M119" i="3" s="1"/>
  <c r="Q118" i="3"/>
  <c r="M118" i="3" s="1"/>
  <c r="Q117" i="3"/>
  <c r="M117" i="3" s="1"/>
  <c r="Q116" i="3"/>
  <c r="M116" i="3" s="1"/>
  <c r="Q115" i="3"/>
  <c r="M115" i="3" s="1"/>
  <c r="Q114" i="3"/>
  <c r="M114" i="3" s="1"/>
  <c r="Q113" i="3"/>
  <c r="M113" i="3" s="1"/>
  <c r="Q112" i="3"/>
  <c r="M112" i="3" s="1"/>
  <c r="Q110" i="3"/>
  <c r="M110" i="3" s="1"/>
  <c r="Q108" i="3"/>
  <c r="M108" i="3" s="1"/>
  <c r="Q107" i="3"/>
  <c r="M107" i="3" s="1"/>
  <c r="Q106" i="3"/>
  <c r="M106" i="3" s="1"/>
  <c r="Q105" i="3"/>
  <c r="M105" i="3" s="1"/>
  <c r="Q104" i="3"/>
  <c r="M104" i="3" s="1"/>
  <c r="Q103" i="3"/>
  <c r="M103" i="3" s="1"/>
  <c r="Q102" i="3"/>
  <c r="M102" i="3" s="1"/>
  <c r="Q101" i="3"/>
  <c r="M101" i="3" s="1"/>
  <c r="Q100" i="3"/>
  <c r="M100" i="3" s="1"/>
  <c r="Q99" i="3"/>
  <c r="M99" i="3" s="1"/>
  <c r="Q98" i="3"/>
  <c r="M98" i="3" s="1"/>
  <c r="Q97" i="3"/>
  <c r="M97" i="3" s="1"/>
  <c r="Q96" i="3"/>
  <c r="M96" i="3" s="1"/>
  <c r="Q94" i="3"/>
  <c r="M94" i="3" s="1"/>
  <c r="Q92" i="3"/>
  <c r="M92" i="3" s="1"/>
  <c r="Q91" i="3"/>
  <c r="M91" i="3" s="1"/>
  <c r="Q90" i="3"/>
  <c r="M90" i="3" s="1"/>
  <c r="Q89" i="3"/>
  <c r="M89" i="3" s="1"/>
  <c r="Q88" i="3"/>
  <c r="M88" i="3" s="1"/>
  <c r="Q83" i="3"/>
  <c r="M83" i="3" s="1"/>
  <c r="Q85" i="3"/>
  <c r="M85" i="3" s="1"/>
  <c r="Q84" i="3"/>
  <c r="M84" i="3" s="1"/>
  <c r="Q87" i="3"/>
  <c r="M87" i="3" s="1"/>
  <c r="Q86" i="3"/>
  <c r="M86" i="3" s="1"/>
  <c r="L66" i="3" l="1"/>
  <c r="N66" i="3"/>
  <c r="O66" i="3"/>
  <c r="R66" i="3"/>
  <c r="U66" i="3"/>
  <c r="AH66" i="3"/>
  <c r="AJ66" i="3"/>
  <c r="AL66" i="3"/>
  <c r="AM66" i="3"/>
  <c r="AN66" i="3"/>
  <c r="AO66" i="3"/>
  <c r="AP66" i="3"/>
  <c r="AQ66" i="3"/>
  <c r="L67" i="3"/>
  <c r="R67" i="3" s="1"/>
  <c r="N67" i="3"/>
  <c r="O67" i="3"/>
  <c r="U67" i="3"/>
  <c r="AH67" i="3"/>
  <c r="AJ67" i="3"/>
  <c r="AL67" i="3"/>
  <c r="AM67" i="3"/>
  <c r="AN67" i="3"/>
  <c r="AO67" i="3"/>
  <c r="AP67" i="3"/>
  <c r="AQ67" i="3"/>
  <c r="L68" i="3"/>
  <c r="AN68" i="3" s="1"/>
  <c r="N68" i="3"/>
  <c r="O68" i="3"/>
  <c r="R68" i="3"/>
  <c r="U68" i="3"/>
  <c r="AH68" i="3"/>
  <c r="AJ68" i="3"/>
  <c r="AL68" i="3"/>
  <c r="AM68" i="3"/>
  <c r="AO68" i="3"/>
  <c r="AP68" i="3"/>
  <c r="AQ68" i="3"/>
  <c r="L69" i="3"/>
  <c r="AN69" i="3" s="1"/>
  <c r="N69" i="3"/>
  <c r="O69" i="3"/>
  <c r="R69" i="3"/>
  <c r="U69" i="3"/>
  <c r="AH69" i="3"/>
  <c r="AJ69" i="3"/>
  <c r="AL69" i="3"/>
  <c r="AM69" i="3"/>
  <c r="AO69" i="3"/>
  <c r="AP69" i="3"/>
  <c r="AQ69" i="3"/>
  <c r="L70" i="3"/>
  <c r="R70" i="3" s="1"/>
  <c r="N70" i="3"/>
  <c r="O70" i="3"/>
  <c r="U70" i="3"/>
  <c r="AH70" i="3"/>
  <c r="AJ70" i="3"/>
  <c r="AL70" i="3"/>
  <c r="AM70" i="3"/>
  <c r="AN70" i="3"/>
  <c r="AO70" i="3"/>
  <c r="AP70" i="3"/>
  <c r="AQ70" i="3"/>
  <c r="L71" i="3"/>
  <c r="N71" i="3" s="1"/>
  <c r="O71" i="3"/>
  <c r="R71" i="3"/>
  <c r="U71" i="3"/>
  <c r="AH71" i="3"/>
  <c r="AJ71" i="3"/>
  <c r="AL71" i="3"/>
  <c r="AM71" i="3"/>
  <c r="AN71" i="3"/>
  <c r="AO71" i="3"/>
  <c r="AP71" i="3"/>
  <c r="AQ71" i="3"/>
  <c r="L72" i="3"/>
  <c r="N72" i="3" s="1"/>
  <c r="O72" i="3"/>
  <c r="R72" i="3"/>
  <c r="U72" i="3"/>
  <c r="AH72" i="3"/>
  <c r="AJ72" i="3"/>
  <c r="AL72" i="3"/>
  <c r="AM72" i="3"/>
  <c r="AN72" i="3"/>
  <c r="AO72" i="3"/>
  <c r="AP72" i="3"/>
  <c r="AQ72" i="3"/>
  <c r="L73" i="3"/>
  <c r="N73" i="3" s="1"/>
  <c r="O73" i="3"/>
  <c r="R73" i="3"/>
  <c r="U73" i="3"/>
  <c r="AH73" i="3"/>
  <c r="AJ73" i="3"/>
  <c r="AL73" i="3"/>
  <c r="AM73" i="3"/>
  <c r="AN73" i="3"/>
  <c r="AO73" i="3"/>
  <c r="AP73" i="3"/>
  <c r="AQ73" i="3"/>
  <c r="L74" i="3"/>
  <c r="N74" i="3" s="1"/>
  <c r="O74" i="3"/>
  <c r="R74" i="3"/>
  <c r="U74" i="3"/>
  <c r="AH74" i="3"/>
  <c r="AJ74" i="3"/>
  <c r="AL74" i="3"/>
  <c r="AM74" i="3"/>
  <c r="AN74" i="3"/>
  <c r="AO74" i="3"/>
  <c r="AP74" i="3"/>
  <c r="AQ74" i="3"/>
  <c r="L75" i="3"/>
  <c r="R75" i="3" s="1"/>
  <c r="N75" i="3"/>
  <c r="O75" i="3"/>
  <c r="U75" i="3"/>
  <c r="AH75" i="3"/>
  <c r="AJ75" i="3"/>
  <c r="AL75" i="3"/>
  <c r="AM75" i="3"/>
  <c r="AN75" i="3"/>
  <c r="AO75" i="3"/>
  <c r="AP75" i="3"/>
  <c r="AQ75" i="3"/>
  <c r="L76" i="3"/>
  <c r="R76" i="3" s="1"/>
  <c r="N76" i="3"/>
  <c r="O76" i="3"/>
  <c r="U76" i="3"/>
  <c r="AH76" i="3"/>
  <c r="AJ76" i="3"/>
  <c r="AL76" i="3"/>
  <c r="AM76" i="3"/>
  <c r="AN76" i="3"/>
  <c r="AO76" i="3"/>
  <c r="AP76" i="3"/>
  <c r="AQ76" i="3"/>
  <c r="L77" i="3"/>
  <c r="R77" i="3" s="1"/>
  <c r="N77" i="3"/>
  <c r="O77" i="3"/>
  <c r="U77" i="3"/>
  <c r="AH77" i="3"/>
  <c r="AJ77" i="3"/>
  <c r="AL77" i="3"/>
  <c r="AM77" i="3"/>
  <c r="AN77" i="3"/>
  <c r="AO77" i="3"/>
  <c r="AP77" i="3"/>
  <c r="AQ77" i="3"/>
  <c r="L78" i="3"/>
  <c r="R78" i="3" s="1"/>
  <c r="N78" i="3"/>
  <c r="O78" i="3"/>
  <c r="U78" i="3"/>
  <c r="AH78" i="3"/>
  <c r="AJ78" i="3"/>
  <c r="AL78" i="3"/>
  <c r="AM78" i="3"/>
  <c r="AN78" i="3"/>
  <c r="AO78" i="3"/>
  <c r="AP78" i="3"/>
  <c r="AQ78" i="3"/>
  <c r="L79" i="3"/>
  <c r="R79" i="3" s="1"/>
  <c r="N79" i="3"/>
  <c r="O79" i="3"/>
  <c r="U79" i="3"/>
  <c r="AH79" i="3"/>
  <c r="AJ79" i="3"/>
  <c r="AL79" i="3"/>
  <c r="AM79" i="3"/>
  <c r="AN79" i="3"/>
  <c r="AO79" i="3"/>
  <c r="AP79" i="3"/>
  <c r="AQ79" i="3"/>
  <c r="L80" i="3"/>
  <c r="AN80" i="3" s="1"/>
  <c r="N80" i="3"/>
  <c r="O80" i="3"/>
  <c r="R80" i="3"/>
  <c r="U80" i="3"/>
  <c r="AH80" i="3"/>
  <c r="AJ80" i="3"/>
  <c r="AL80" i="3"/>
  <c r="AM80" i="3"/>
  <c r="AO80" i="3"/>
  <c r="AP80" i="3"/>
  <c r="AQ80" i="3"/>
  <c r="L81" i="3"/>
  <c r="N81" i="3"/>
  <c r="O81" i="3"/>
  <c r="R81" i="3"/>
  <c r="U81" i="3"/>
  <c r="AH81" i="3"/>
  <c r="AJ81" i="3"/>
  <c r="AL81" i="3"/>
  <c r="AM81" i="3"/>
  <c r="AN81" i="3"/>
  <c r="AO81" i="3"/>
  <c r="AP81" i="3"/>
  <c r="AQ81" i="3"/>
  <c r="L82" i="3"/>
  <c r="AN82" i="3" s="1"/>
  <c r="N82" i="3"/>
  <c r="O82" i="3"/>
  <c r="R82" i="3"/>
  <c r="U82" i="3"/>
  <c r="AH82" i="3"/>
  <c r="AJ82" i="3"/>
  <c r="AL82" i="3"/>
  <c r="AM82" i="3"/>
  <c r="AO82" i="3"/>
  <c r="AP82" i="3"/>
  <c r="AQ82" i="3"/>
  <c r="L65" i="3"/>
  <c r="N65" i="3" s="1"/>
  <c r="O65" i="3"/>
  <c r="R65" i="3"/>
  <c r="U65" i="3"/>
  <c r="AH65" i="3"/>
  <c r="AJ65" i="3"/>
  <c r="AL65" i="3"/>
  <c r="AM65" i="3"/>
  <c r="AN65" i="3"/>
  <c r="AO65" i="3"/>
  <c r="AP65" i="3"/>
  <c r="AQ65" i="3"/>
  <c r="L52" i="3"/>
  <c r="R52" i="3" s="1"/>
  <c r="N52" i="3"/>
  <c r="O52" i="3"/>
  <c r="U52" i="3"/>
  <c r="AH52" i="3"/>
  <c r="AJ52" i="3"/>
  <c r="AL52" i="3"/>
  <c r="AM52" i="3"/>
  <c r="AN52" i="3"/>
  <c r="AO52" i="3"/>
  <c r="AP52" i="3"/>
  <c r="AQ52" i="3"/>
  <c r="L53" i="3"/>
  <c r="AN53" i="3" s="1"/>
  <c r="N53" i="3"/>
  <c r="O53" i="3"/>
  <c r="R53" i="3"/>
  <c r="U53" i="3"/>
  <c r="AH53" i="3"/>
  <c r="AJ53" i="3"/>
  <c r="AL53" i="3"/>
  <c r="AM53" i="3"/>
  <c r="AO53" i="3"/>
  <c r="AP53" i="3"/>
  <c r="AQ53" i="3"/>
  <c r="L54" i="3"/>
  <c r="AN54" i="3" s="1"/>
  <c r="N54" i="3"/>
  <c r="O54" i="3"/>
  <c r="R54" i="3"/>
  <c r="U54" i="3"/>
  <c r="AH54" i="3"/>
  <c r="AJ54" i="3"/>
  <c r="AL54" i="3"/>
  <c r="AM54" i="3"/>
  <c r="AO54" i="3"/>
  <c r="AP54" i="3"/>
  <c r="AQ54" i="3"/>
  <c r="L55" i="3"/>
  <c r="AN55" i="3" s="1"/>
  <c r="N55" i="3"/>
  <c r="O55" i="3"/>
  <c r="R55" i="3"/>
  <c r="U55" i="3"/>
  <c r="AH55" i="3"/>
  <c r="AJ55" i="3"/>
  <c r="AL55" i="3"/>
  <c r="AM55" i="3"/>
  <c r="AO55" i="3"/>
  <c r="AP55" i="3"/>
  <c r="AQ55" i="3"/>
  <c r="L56" i="3"/>
  <c r="R56" i="3" s="1"/>
  <c r="N56" i="3"/>
  <c r="O56" i="3"/>
  <c r="U56" i="3"/>
  <c r="AH56" i="3"/>
  <c r="AJ56" i="3"/>
  <c r="AL56" i="3"/>
  <c r="AM56" i="3"/>
  <c r="AN56" i="3"/>
  <c r="AO56" i="3"/>
  <c r="AP56" i="3"/>
  <c r="AQ56" i="3"/>
  <c r="L57" i="3"/>
  <c r="R57" i="3" s="1"/>
  <c r="N57" i="3"/>
  <c r="O57" i="3"/>
  <c r="U57" i="3"/>
  <c r="AH57" i="3"/>
  <c r="AJ57" i="3"/>
  <c r="AL57" i="3"/>
  <c r="AM57" i="3"/>
  <c r="AN57" i="3"/>
  <c r="AO57" i="3"/>
  <c r="AP57" i="3"/>
  <c r="AQ57" i="3"/>
  <c r="L58" i="3"/>
  <c r="N58" i="3" s="1"/>
  <c r="O58" i="3"/>
  <c r="R58" i="3"/>
  <c r="U58" i="3"/>
  <c r="AH58" i="3"/>
  <c r="AJ58" i="3"/>
  <c r="AL58" i="3"/>
  <c r="AM58" i="3"/>
  <c r="AN58" i="3"/>
  <c r="AO58" i="3"/>
  <c r="AP58" i="3"/>
  <c r="AQ58" i="3"/>
  <c r="L59" i="3"/>
  <c r="N59" i="3" s="1"/>
  <c r="O59" i="3"/>
  <c r="R59" i="3"/>
  <c r="U59" i="3"/>
  <c r="AH59" i="3"/>
  <c r="AJ59" i="3"/>
  <c r="AL59" i="3"/>
  <c r="AM59" i="3"/>
  <c r="AN59" i="3"/>
  <c r="AO59" i="3"/>
  <c r="AP59" i="3"/>
  <c r="AQ59" i="3"/>
  <c r="L60" i="3"/>
  <c r="N60" i="3" s="1"/>
  <c r="O60" i="3"/>
  <c r="R60" i="3"/>
  <c r="U60" i="3"/>
  <c r="AH60" i="3"/>
  <c r="AJ60" i="3"/>
  <c r="AL60" i="3"/>
  <c r="AM60" i="3"/>
  <c r="AN60" i="3"/>
  <c r="AO60" i="3"/>
  <c r="AP60" i="3"/>
  <c r="AQ60" i="3"/>
  <c r="L61" i="3"/>
  <c r="N61" i="3" s="1"/>
  <c r="O61" i="3"/>
  <c r="R61" i="3"/>
  <c r="U61" i="3"/>
  <c r="AH61" i="3"/>
  <c r="AJ61" i="3"/>
  <c r="AL61" i="3"/>
  <c r="AM61" i="3"/>
  <c r="AN61" i="3"/>
  <c r="AO61" i="3"/>
  <c r="AP61" i="3"/>
  <c r="AQ61" i="3"/>
  <c r="L62" i="3"/>
  <c r="R62" i="3" s="1"/>
  <c r="N62" i="3"/>
  <c r="O62" i="3"/>
  <c r="U62" i="3"/>
  <c r="AH62" i="3"/>
  <c r="AJ62" i="3"/>
  <c r="AL62" i="3"/>
  <c r="AM62" i="3"/>
  <c r="AN62" i="3"/>
  <c r="AO62" i="3"/>
  <c r="AP62" i="3"/>
  <c r="AQ62" i="3"/>
  <c r="L63" i="3"/>
  <c r="R63" i="3" s="1"/>
  <c r="N63" i="3"/>
  <c r="O63" i="3"/>
  <c r="U63" i="3"/>
  <c r="AH63" i="3"/>
  <c r="AJ63" i="3"/>
  <c r="AL63" i="3"/>
  <c r="AM63" i="3"/>
  <c r="AN63" i="3"/>
  <c r="AO63" i="3"/>
  <c r="AP63" i="3"/>
  <c r="AQ63" i="3"/>
  <c r="L64" i="3"/>
  <c r="N64" i="3" s="1"/>
  <c r="O64" i="3"/>
  <c r="R64" i="3"/>
  <c r="U64" i="3"/>
  <c r="AH64" i="3"/>
  <c r="AJ64" i="3"/>
  <c r="AL64" i="3"/>
  <c r="AM64" i="3"/>
  <c r="AN64" i="3"/>
  <c r="AO64" i="3"/>
  <c r="AP64" i="3"/>
  <c r="AQ64" i="3"/>
  <c r="Q78" i="3" l="1"/>
  <c r="M78" i="3" s="1"/>
  <c r="Q71" i="3"/>
  <c r="M71" i="3" s="1"/>
  <c r="Q74" i="3"/>
  <c r="M74" i="3" s="1"/>
  <c r="Q68" i="3"/>
  <c r="M68" i="3" s="1"/>
  <c r="Q79" i="3"/>
  <c r="M79" i="3" s="1"/>
  <c r="Q82" i="3"/>
  <c r="M82" i="3" s="1"/>
  <c r="Q81" i="3"/>
  <c r="M81" i="3" s="1"/>
  <c r="Q80" i="3"/>
  <c r="M80" i="3" s="1"/>
  <c r="Q77" i="3"/>
  <c r="M77" i="3" s="1"/>
  <c r="Q76" i="3"/>
  <c r="M76" i="3" s="1"/>
  <c r="Q75" i="3"/>
  <c r="M75" i="3" s="1"/>
  <c r="Q73" i="3"/>
  <c r="M73" i="3" s="1"/>
  <c r="Q72" i="3"/>
  <c r="M72" i="3" s="1"/>
  <c r="Q70" i="3"/>
  <c r="M70" i="3" s="1"/>
  <c r="Q69" i="3"/>
  <c r="M69" i="3" s="1"/>
  <c r="Q67" i="3"/>
  <c r="M67" i="3" s="1"/>
  <c r="Q66" i="3"/>
  <c r="M66" i="3" s="1"/>
  <c r="Q65" i="3"/>
  <c r="M65" i="3" s="1"/>
  <c r="Q64" i="3"/>
  <c r="M64" i="3" s="1"/>
  <c r="Q60" i="3"/>
  <c r="M60" i="3" s="1"/>
  <c r="Q63" i="3"/>
  <c r="M63" i="3" s="1"/>
  <c r="Q62" i="3"/>
  <c r="M62" i="3" s="1"/>
  <c r="Q61" i="3"/>
  <c r="M61" i="3" s="1"/>
  <c r="Q59" i="3"/>
  <c r="M59" i="3" s="1"/>
  <c r="Q58" i="3"/>
  <c r="M58" i="3" s="1"/>
  <c r="Q57" i="3"/>
  <c r="M57" i="3" s="1"/>
  <c r="Q56" i="3"/>
  <c r="M56" i="3" s="1"/>
  <c r="Q55" i="3"/>
  <c r="M55" i="3" s="1"/>
  <c r="Q54" i="3"/>
  <c r="M54" i="3" s="1"/>
  <c r="Q53" i="3"/>
  <c r="M53" i="3" s="1"/>
  <c r="Q52" i="3"/>
  <c r="M52" i="3" s="1"/>
  <c r="L36" i="3" l="1"/>
  <c r="N36" i="3" s="1"/>
  <c r="O36" i="3"/>
  <c r="R36" i="3"/>
  <c r="U36" i="3"/>
  <c r="AH36" i="3"/>
  <c r="AJ36" i="3"/>
  <c r="AL36" i="3"/>
  <c r="AM36" i="3"/>
  <c r="AN36" i="3"/>
  <c r="AO36" i="3"/>
  <c r="AP36" i="3"/>
  <c r="AQ36" i="3"/>
  <c r="L37" i="3"/>
  <c r="N37" i="3" s="1"/>
  <c r="O37" i="3"/>
  <c r="R37" i="3"/>
  <c r="U37" i="3"/>
  <c r="AH37" i="3"/>
  <c r="AJ37" i="3"/>
  <c r="AL37" i="3"/>
  <c r="AM37" i="3"/>
  <c r="AN37" i="3"/>
  <c r="AO37" i="3"/>
  <c r="AP37" i="3"/>
  <c r="AQ37" i="3"/>
  <c r="L38" i="3"/>
  <c r="N38" i="3" s="1"/>
  <c r="O38" i="3"/>
  <c r="R38" i="3"/>
  <c r="U38" i="3"/>
  <c r="AH38" i="3"/>
  <c r="AJ38" i="3"/>
  <c r="AL38" i="3"/>
  <c r="AM38" i="3"/>
  <c r="AN38" i="3"/>
  <c r="AO38" i="3"/>
  <c r="AP38" i="3"/>
  <c r="AQ38" i="3"/>
  <c r="L39" i="3"/>
  <c r="N39" i="3" s="1"/>
  <c r="O39" i="3"/>
  <c r="R39" i="3"/>
  <c r="U39" i="3"/>
  <c r="AH39" i="3"/>
  <c r="AJ39" i="3"/>
  <c r="AL39" i="3"/>
  <c r="AM39" i="3"/>
  <c r="AN39" i="3"/>
  <c r="AO39" i="3"/>
  <c r="AP39" i="3"/>
  <c r="AQ39" i="3"/>
  <c r="L40" i="3"/>
  <c r="N40" i="3" s="1"/>
  <c r="O40" i="3"/>
  <c r="R40" i="3"/>
  <c r="U40" i="3"/>
  <c r="AH40" i="3"/>
  <c r="AJ40" i="3"/>
  <c r="AL40" i="3"/>
  <c r="AM40" i="3"/>
  <c r="AN40" i="3"/>
  <c r="AO40" i="3"/>
  <c r="AP40" i="3"/>
  <c r="AQ40" i="3"/>
  <c r="L41" i="3"/>
  <c r="N41" i="3" s="1"/>
  <c r="O41" i="3"/>
  <c r="R41" i="3"/>
  <c r="U41" i="3"/>
  <c r="AH41" i="3"/>
  <c r="AJ41" i="3"/>
  <c r="AL41" i="3"/>
  <c r="AM41" i="3"/>
  <c r="AN41" i="3"/>
  <c r="AO41" i="3"/>
  <c r="AP41" i="3"/>
  <c r="AQ41" i="3"/>
  <c r="L42" i="3"/>
  <c r="N42" i="3" s="1"/>
  <c r="O42" i="3"/>
  <c r="R42" i="3"/>
  <c r="U42" i="3"/>
  <c r="AH42" i="3"/>
  <c r="AJ42" i="3"/>
  <c r="AL42" i="3"/>
  <c r="AM42" i="3"/>
  <c r="AN42" i="3"/>
  <c r="AO42" i="3"/>
  <c r="AP42" i="3"/>
  <c r="AQ42" i="3"/>
  <c r="L43" i="3"/>
  <c r="N43" i="3"/>
  <c r="O43" i="3"/>
  <c r="R43" i="3"/>
  <c r="U43" i="3"/>
  <c r="AH43" i="3"/>
  <c r="AJ43" i="3"/>
  <c r="AL43" i="3"/>
  <c r="AM43" i="3"/>
  <c r="AN43" i="3"/>
  <c r="AO43" i="3"/>
  <c r="AP43" i="3"/>
  <c r="AQ43" i="3"/>
  <c r="L44" i="3"/>
  <c r="N44" i="3" s="1"/>
  <c r="O44" i="3"/>
  <c r="R44" i="3"/>
  <c r="U44" i="3"/>
  <c r="AH44" i="3"/>
  <c r="AJ44" i="3"/>
  <c r="AL44" i="3"/>
  <c r="AM44" i="3"/>
  <c r="AN44" i="3"/>
  <c r="AO44" i="3"/>
  <c r="AP44" i="3"/>
  <c r="AQ44" i="3"/>
  <c r="L45" i="3"/>
  <c r="N45" i="3" s="1"/>
  <c r="O45" i="3"/>
  <c r="R45" i="3"/>
  <c r="U45" i="3"/>
  <c r="AH45" i="3"/>
  <c r="AJ45" i="3"/>
  <c r="AL45" i="3"/>
  <c r="AM45" i="3"/>
  <c r="AN45" i="3"/>
  <c r="AO45" i="3"/>
  <c r="AP45" i="3"/>
  <c r="AQ45" i="3"/>
  <c r="L46" i="3"/>
  <c r="N46" i="3" s="1"/>
  <c r="O46" i="3"/>
  <c r="R46" i="3"/>
  <c r="U46" i="3"/>
  <c r="AH46" i="3"/>
  <c r="AJ46" i="3"/>
  <c r="AL46" i="3"/>
  <c r="AM46" i="3"/>
  <c r="AN46" i="3"/>
  <c r="AO46" i="3"/>
  <c r="AP46" i="3"/>
  <c r="AQ46" i="3"/>
  <c r="L47" i="3"/>
  <c r="N47" i="3" s="1"/>
  <c r="O47" i="3"/>
  <c r="R47" i="3"/>
  <c r="U47" i="3"/>
  <c r="AH47" i="3"/>
  <c r="AJ47" i="3"/>
  <c r="AL47" i="3"/>
  <c r="AM47" i="3"/>
  <c r="AN47" i="3"/>
  <c r="AO47" i="3"/>
  <c r="AP47" i="3"/>
  <c r="AQ47" i="3"/>
  <c r="L48" i="3"/>
  <c r="N48" i="3" s="1"/>
  <c r="O48" i="3"/>
  <c r="R48" i="3"/>
  <c r="U48" i="3"/>
  <c r="AH48" i="3"/>
  <c r="AJ48" i="3"/>
  <c r="AL48" i="3"/>
  <c r="AM48" i="3"/>
  <c r="AN48" i="3"/>
  <c r="AO48" i="3"/>
  <c r="AP48" i="3"/>
  <c r="AQ48" i="3"/>
  <c r="L49" i="3"/>
  <c r="R49" i="3" s="1"/>
  <c r="N49" i="3"/>
  <c r="O49" i="3"/>
  <c r="U49" i="3"/>
  <c r="AH49" i="3"/>
  <c r="AJ49" i="3"/>
  <c r="AL49" i="3"/>
  <c r="AM49" i="3"/>
  <c r="AN49" i="3"/>
  <c r="AO49" i="3"/>
  <c r="AP49" i="3"/>
  <c r="AQ49" i="3"/>
  <c r="L50" i="3"/>
  <c r="N50" i="3" s="1"/>
  <c r="O50" i="3"/>
  <c r="R50" i="3"/>
  <c r="U50" i="3"/>
  <c r="AH50" i="3"/>
  <c r="AJ50" i="3"/>
  <c r="AL50" i="3"/>
  <c r="AM50" i="3"/>
  <c r="AN50" i="3"/>
  <c r="AO50" i="3"/>
  <c r="AP50" i="3"/>
  <c r="AQ50" i="3"/>
  <c r="L51" i="3"/>
  <c r="R51" i="3" s="1"/>
  <c r="N51" i="3"/>
  <c r="O51" i="3"/>
  <c r="U51" i="3"/>
  <c r="AH51" i="3"/>
  <c r="AJ51" i="3"/>
  <c r="AL51" i="3"/>
  <c r="AM51" i="3"/>
  <c r="AN51" i="3"/>
  <c r="AO51" i="3"/>
  <c r="AP51" i="3"/>
  <c r="AQ51" i="3"/>
  <c r="N26" i="3"/>
  <c r="L17" i="3"/>
  <c r="AN17" i="3" s="1"/>
  <c r="N17" i="3"/>
  <c r="O17" i="3"/>
  <c r="R17" i="3"/>
  <c r="U17" i="3"/>
  <c r="AH17" i="3"/>
  <c r="AJ17" i="3"/>
  <c r="AL17" i="3"/>
  <c r="AM17" i="3"/>
  <c r="AO17" i="3"/>
  <c r="AP17" i="3"/>
  <c r="AQ17" i="3"/>
  <c r="L18" i="3"/>
  <c r="AN18" i="3" s="1"/>
  <c r="N18" i="3"/>
  <c r="O18" i="3"/>
  <c r="R18" i="3"/>
  <c r="U18" i="3"/>
  <c r="AH18" i="3"/>
  <c r="AJ18" i="3"/>
  <c r="AL18" i="3"/>
  <c r="AM18" i="3"/>
  <c r="AO18" i="3"/>
  <c r="AP18" i="3"/>
  <c r="AQ18" i="3"/>
  <c r="L19" i="3"/>
  <c r="N19" i="3"/>
  <c r="O19" i="3"/>
  <c r="R19" i="3"/>
  <c r="U19" i="3"/>
  <c r="AH19" i="3"/>
  <c r="AJ19" i="3"/>
  <c r="AL19" i="3"/>
  <c r="AM19" i="3"/>
  <c r="AN19" i="3"/>
  <c r="AO19" i="3"/>
  <c r="AP19" i="3"/>
  <c r="AQ19" i="3"/>
  <c r="L20" i="3"/>
  <c r="N20" i="3" s="1"/>
  <c r="O20" i="3"/>
  <c r="R20" i="3"/>
  <c r="U20" i="3"/>
  <c r="AH20" i="3"/>
  <c r="AJ20" i="3"/>
  <c r="AL20" i="3"/>
  <c r="AM20" i="3"/>
  <c r="AN20" i="3"/>
  <c r="AO20" i="3"/>
  <c r="AP20" i="3"/>
  <c r="AQ20" i="3"/>
  <c r="L21" i="3"/>
  <c r="N21" i="3" s="1"/>
  <c r="O21" i="3"/>
  <c r="R21" i="3"/>
  <c r="U21" i="3"/>
  <c r="AH21" i="3"/>
  <c r="AJ21" i="3"/>
  <c r="AL21" i="3"/>
  <c r="AM21" i="3"/>
  <c r="AN21" i="3"/>
  <c r="AO21" i="3"/>
  <c r="AP21" i="3"/>
  <c r="AQ21" i="3"/>
  <c r="L22" i="3"/>
  <c r="N22" i="3" s="1"/>
  <c r="O22" i="3"/>
  <c r="R22" i="3"/>
  <c r="U22" i="3"/>
  <c r="AH22" i="3"/>
  <c r="AJ22" i="3"/>
  <c r="AL22" i="3"/>
  <c r="AM22" i="3"/>
  <c r="AN22" i="3"/>
  <c r="AO22" i="3"/>
  <c r="AP22" i="3"/>
  <c r="AQ22" i="3"/>
  <c r="L23" i="3"/>
  <c r="N23" i="3" s="1"/>
  <c r="O23" i="3"/>
  <c r="R23" i="3"/>
  <c r="U23" i="3"/>
  <c r="AH23" i="3"/>
  <c r="AJ23" i="3"/>
  <c r="AL23" i="3"/>
  <c r="AM23" i="3"/>
  <c r="AN23" i="3"/>
  <c r="AO23" i="3"/>
  <c r="AP23" i="3"/>
  <c r="AQ23" i="3"/>
  <c r="L24" i="3"/>
  <c r="R24" i="3" s="1"/>
  <c r="N24" i="3"/>
  <c r="O24" i="3"/>
  <c r="U24" i="3"/>
  <c r="AH24" i="3"/>
  <c r="AJ24" i="3"/>
  <c r="AL24" i="3"/>
  <c r="AM24" i="3"/>
  <c r="AN24" i="3"/>
  <c r="AO24" i="3"/>
  <c r="AP24" i="3"/>
  <c r="AQ24" i="3"/>
  <c r="L25" i="3"/>
  <c r="N25" i="3" s="1"/>
  <c r="O25" i="3"/>
  <c r="R25" i="3"/>
  <c r="U25" i="3"/>
  <c r="AH25" i="3"/>
  <c r="AJ25" i="3"/>
  <c r="AL25" i="3"/>
  <c r="AM25" i="3"/>
  <c r="AN25" i="3"/>
  <c r="AO25" i="3"/>
  <c r="AP25" i="3"/>
  <c r="AQ25" i="3"/>
  <c r="L26" i="3"/>
  <c r="AL26" i="3" s="1"/>
  <c r="O26" i="3"/>
  <c r="R26" i="3"/>
  <c r="U26" i="3"/>
  <c r="AH26" i="3"/>
  <c r="AJ26" i="3"/>
  <c r="AM26" i="3"/>
  <c r="AN26" i="3"/>
  <c r="AO26" i="3"/>
  <c r="AP26" i="3"/>
  <c r="AQ26" i="3"/>
  <c r="L27" i="3"/>
  <c r="N27" i="3" s="1"/>
  <c r="O27" i="3"/>
  <c r="R27" i="3"/>
  <c r="U27" i="3"/>
  <c r="AH27" i="3"/>
  <c r="AJ27" i="3"/>
  <c r="AL27" i="3"/>
  <c r="AM27" i="3"/>
  <c r="AN27" i="3"/>
  <c r="AO27" i="3"/>
  <c r="AP27" i="3"/>
  <c r="AQ27" i="3"/>
  <c r="L28" i="3"/>
  <c r="R28" i="3" s="1"/>
  <c r="N28" i="3"/>
  <c r="O28" i="3"/>
  <c r="U28" i="3"/>
  <c r="AH28" i="3"/>
  <c r="AJ28" i="3"/>
  <c r="AL28" i="3"/>
  <c r="AM28" i="3"/>
  <c r="AN28" i="3"/>
  <c r="AO28" i="3"/>
  <c r="AP28" i="3"/>
  <c r="AQ28" i="3"/>
  <c r="L29" i="3"/>
  <c r="N29" i="3"/>
  <c r="O29" i="3"/>
  <c r="R29" i="3"/>
  <c r="U29" i="3"/>
  <c r="AH29" i="3"/>
  <c r="AJ29" i="3"/>
  <c r="AL29" i="3"/>
  <c r="AM29" i="3"/>
  <c r="AN29" i="3"/>
  <c r="AO29" i="3"/>
  <c r="AP29" i="3"/>
  <c r="AQ29" i="3"/>
  <c r="L30" i="3"/>
  <c r="AN30" i="3" s="1"/>
  <c r="N30" i="3"/>
  <c r="O30" i="3"/>
  <c r="R30" i="3"/>
  <c r="U30" i="3"/>
  <c r="AH30" i="3"/>
  <c r="AJ30" i="3"/>
  <c r="AL30" i="3"/>
  <c r="AM30" i="3"/>
  <c r="AO30" i="3"/>
  <c r="AP30" i="3"/>
  <c r="AQ30" i="3"/>
  <c r="L31" i="3"/>
  <c r="AN31" i="3" s="1"/>
  <c r="N31" i="3"/>
  <c r="O31" i="3"/>
  <c r="R31" i="3"/>
  <c r="U31" i="3"/>
  <c r="AH31" i="3"/>
  <c r="AJ31" i="3"/>
  <c r="AL31" i="3"/>
  <c r="AM31" i="3"/>
  <c r="AO31" i="3"/>
  <c r="AP31" i="3"/>
  <c r="AQ31" i="3"/>
  <c r="L32" i="3"/>
  <c r="AN32" i="3" s="1"/>
  <c r="N32" i="3"/>
  <c r="O32" i="3"/>
  <c r="R32" i="3"/>
  <c r="U32" i="3"/>
  <c r="AH32" i="3"/>
  <c r="AJ32" i="3"/>
  <c r="AL32" i="3"/>
  <c r="AM32" i="3"/>
  <c r="AO32" i="3"/>
  <c r="AP32" i="3"/>
  <c r="AQ32" i="3"/>
  <c r="L33" i="3"/>
  <c r="N33" i="3"/>
  <c r="O33" i="3"/>
  <c r="R33" i="3"/>
  <c r="U33" i="3"/>
  <c r="AH33" i="3"/>
  <c r="AJ33" i="3"/>
  <c r="AL33" i="3"/>
  <c r="AM33" i="3"/>
  <c r="AN33" i="3"/>
  <c r="AO33" i="3"/>
  <c r="AP33" i="3"/>
  <c r="AQ33" i="3"/>
  <c r="L34" i="3"/>
  <c r="N34" i="3" s="1"/>
  <c r="O34" i="3"/>
  <c r="R34" i="3"/>
  <c r="U34" i="3"/>
  <c r="AH34" i="3"/>
  <c r="AJ34" i="3"/>
  <c r="AL34" i="3"/>
  <c r="AM34" i="3"/>
  <c r="AN34" i="3"/>
  <c r="AO34" i="3"/>
  <c r="AP34" i="3"/>
  <c r="AQ34" i="3"/>
  <c r="L35" i="3"/>
  <c r="N35" i="3" s="1"/>
  <c r="O35" i="3"/>
  <c r="R35" i="3"/>
  <c r="U35" i="3"/>
  <c r="AH35" i="3"/>
  <c r="AJ35" i="3"/>
  <c r="AL35" i="3"/>
  <c r="AM35" i="3"/>
  <c r="AN35" i="3"/>
  <c r="AO35" i="3"/>
  <c r="AP35" i="3"/>
  <c r="AQ35" i="3"/>
  <c r="Q48" i="3" l="1"/>
  <c r="M48" i="3" s="1"/>
  <c r="Q41" i="3"/>
  <c r="M41" i="3" s="1"/>
  <c r="Q51" i="3"/>
  <c r="M51" i="3" s="1"/>
  <c r="Q50" i="3"/>
  <c r="M50" i="3" s="1"/>
  <c r="Q49" i="3"/>
  <c r="M49" i="3" s="1"/>
  <c r="Q47" i="3"/>
  <c r="M47" i="3" s="1"/>
  <c r="Q46" i="3"/>
  <c r="M46" i="3" s="1"/>
  <c r="Q45" i="3"/>
  <c r="M45" i="3" s="1"/>
  <c r="Q44" i="3"/>
  <c r="M44" i="3" s="1"/>
  <c r="Q43" i="3"/>
  <c r="M43" i="3" s="1"/>
  <c r="Q42" i="3"/>
  <c r="M42" i="3" s="1"/>
  <c r="Q40" i="3"/>
  <c r="M40" i="3" s="1"/>
  <c r="Q39" i="3"/>
  <c r="M39" i="3" s="1"/>
  <c r="Q38" i="3"/>
  <c r="M38" i="3" s="1"/>
  <c r="Q37" i="3"/>
  <c r="M37" i="3" s="1"/>
  <c r="Q36" i="3"/>
  <c r="M36" i="3" s="1"/>
  <c r="Q24" i="3"/>
  <c r="M24" i="3" s="1"/>
  <c r="Q20" i="3"/>
  <c r="M20" i="3" s="1"/>
  <c r="Q17" i="3"/>
  <c r="M17" i="3" s="1"/>
  <c r="Q35" i="3"/>
  <c r="M35" i="3" s="1"/>
  <c r="Q34" i="3"/>
  <c r="M34" i="3" s="1"/>
  <c r="Q33" i="3"/>
  <c r="M33" i="3" s="1"/>
  <c r="Q32" i="3"/>
  <c r="M32" i="3" s="1"/>
  <c r="Q31" i="3"/>
  <c r="M31" i="3" s="1"/>
  <c r="Q30" i="3"/>
  <c r="M30" i="3" s="1"/>
  <c r="Q29" i="3"/>
  <c r="M29" i="3" s="1"/>
  <c r="Q28" i="3"/>
  <c r="M28" i="3" s="1"/>
  <c r="Q27" i="3"/>
  <c r="M27" i="3" s="1"/>
  <c r="Q26" i="3"/>
  <c r="M26" i="3" s="1"/>
  <c r="Q25" i="3"/>
  <c r="M25" i="3" s="1"/>
  <c r="Q23" i="3"/>
  <c r="M23" i="3" s="1"/>
  <c r="Q22" i="3"/>
  <c r="M22" i="3" s="1"/>
  <c r="Q21" i="3"/>
  <c r="M21" i="3" s="1"/>
  <c r="Q19" i="3"/>
  <c r="M19" i="3" s="1"/>
  <c r="Q18" i="3"/>
  <c r="M18" i="3" s="1"/>
  <c r="L8" i="3" l="1"/>
  <c r="N8" i="3" s="1"/>
  <c r="O8" i="3"/>
  <c r="R8" i="3"/>
  <c r="U8" i="3"/>
  <c r="AH8" i="3"/>
  <c r="AJ8" i="3"/>
  <c r="AL8" i="3"/>
  <c r="AM8" i="3"/>
  <c r="AN8" i="3"/>
  <c r="AO8" i="3"/>
  <c r="AP8" i="3"/>
  <c r="AQ8" i="3"/>
  <c r="L9" i="3"/>
  <c r="N9" i="3" s="1"/>
  <c r="O9" i="3"/>
  <c r="R9" i="3"/>
  <c r="U9" i="3"/>
  <c r="AH9" i="3"/>
  <c r="AJ9" i="3"/>
  <c r="AL9" i="3"/>
  <c r="AM9" i="3"/>
  <c r="AN9" i="3"/>
  <c r="AO9" i="3"/>
  <c r="AP9" i="3"/>
  <c r="AQ9" i="3"/>
  <c r="L10" i="3"/>
  <c r="N10" i="3" s="1"/>
  <c r="O10" i="3"/>
  <c r="R10" i="3"/>
  <c r="U10" i="3"/>
  <c r="AH10" i="3"/>
  <c r="AJ10" i="3"/>
  <c r="AL10" i="3"/>
  <c r="AM10" i="3"/>
  <c r="AN10" i="3"/>
  <c r="AO10" i="3"/>
  <c r="AP10" i="3"/>
  <c r="AQ10" i="3"/>
  <c r="L11" i="3"/>
  <c r="N11" i="3" s="1"/>
  <c r="O11" i="3"/>
  <c r="R11" i="3"/>
  <c r="U11" i="3"/>
  <c r="AH11" i="3"/>
  <c r="AJ11" i="3"/>
  <c r="AL11" i="3"/>
  <c r="AM11" i="3"/>
  <c r="AN11" i="3"/>
  <c r="AO11" i="3"/>
  <c r="AP11" i="3"/>
  <c r="AQ11" i="3"/>
  <c r="L12" i="3"/>
  <c r="N12" i="3" s="1"/>
  <c r="O12" i="3"/>
  <c r="R12" i="3"/>
  <c r="U12" i="3"/>
  <c r="AH12" i="3"/>
  <c r="AJ12" i="3"/>
  <c r="AL12" i="3"/>
  <c r="AM12" i="3"/>
  <c r="AN12" i="3"/>
  <c r="AO12" i="3"/>
  <c r="AP12" i="3"/>
  <c r="AQ12" i="3"/>
  <c r="L13" i="3"/>
  <c r="N13" i="3" s="1"/>
  <c r="O13" i="3"/>
  <c r="R13" i="3"/>
  <c r="U13" i="3"/>
  <c r="AH13" i="3"/>
  <c r="AJ13" i="3"/>
  <c r="AL13" i="3"/>
  <c r="AM13" i="3"/>
  <c r="AN13" i="3"/>
  <c r="AO13" i="3"/>
  <c r="AP13" i="3"/>
  <c r="AQ13" i="3"/>
  <c r="L14" i="3"/>
  <c r="N14" i="3" s="1"/>
  <c r="O14" i="3"/>
  <c r="R14" i="3"/>
  <c r="U14" i="3"/>
  <c r="AH14" i="3"/>
  <c r="AJ14" i="3"/>
  <c r="AL14" i="3"/>
  <c r="AM14" i="3"/>
  <c r="AN14" i="3"/>
  <c r="AO14" i="3"/>
  <c r="AP14" i="3"/>
  <c r="AQ14" i="3"/>
  <c r="L15" i="3"/>
  <c r="N15" i="3" s="1"/>
  <c r="O15" i="3"/>
  <c r="R15" i="3"/>
  <c r="U15" i="3"/>
  <c r="AH15" i="3"/>
  <c r="AJ15" i="3"/>
  <c r="AL15" i="3"/>
  <c r="AM15" i="3"/>
  <c r="AN15" i="3"/>
  <c r="AO15" i="3"/>
  <c r="AP15" i="3"/>
  <c r="AQ15" i="3"/>
  <c r="L16" i="3"/>
  <c r="N16" i="3" s="1"/>
  <c r="O16" i="3"/>
  <c r="R16" i="3"/>
  <c r="U16" i="3"/>
  <c r="AH16" i="3"/>
  <c r="AJ16" i="3"/>
  <c r="AL16" i="3"/>
  <c r="AM16" i="3"/>
  <c r="AN16" i="3"/>
  <c r="AO16" i="3"/>
  <c r="AP16" i="3"/>
  <c r="AQ16" i="3"/>
  <c r="Q13" i="3" l="1"/>
  <c r="M13" i="3" s="1"/>
  <c r="Q16" i="3"/>
  <c r="M16" i="3" s="1"/>
  <c r="Q11" i="3"/>
  <c r="M11" i="3" s="1"/>
  <c r="Q12" i="3"/>
  <c r="M12" i="3" s="1"/>
  <c r="Q8" i="3"/>
  <c r="M8" i="3" s="1"/>
  <c r="Q14" i="3"/>
  <c r="M14" i="3" s="1"/>
  <c r="Q9" i="3"/>
  <c r="M9" i="3" s="1"/>
  <c r="Q15" i="3"/>
  <c r="M15" i="3" s="1"/>
  <c r="Q10" i="3"/>
  <c r="M10" i="3" s="1"/>
  <c r="AQ7" i="3" l="1"/>
  <c r="AP7" i="3"/>
  <c r="AO7" i="3"/>
  <c r="AN7" i="3"/>
  <c r="AM7" i="3"/>
  <c r="AL7" i="3"/>
  <c r="AJ7" i="3"/>
  <c r="U7" i="3"/>
  <c r="AH7" i="3" l="1"/>
  <c r="R7" i="3"/>
  <c r="Q7" i="3" l="1"/>
  <c r="M7" i="3" s="1"/>
</calcChain>
</file>

<file path=xl/sharedStrings.xml><?xml version="1.0" encoding="utf-8"?>
<sst xmlns="http://schemas.openxmlformats.org/spreadsheetml/2006/main" count="688" uniqueCount="494">
  <si>
    <t>Ngày hiệu lực</t>
  </si>
  <si>
    <t>Ghi có</t>
  </si>
  <si>
    <t>Dư đầu</t>
  </si>
  <si>
    <t>Lớp</t>
  </si>
  <si>
    <t>Người check</t>
  </si>
  <si>
    <t>Kiểm tra lại</t>
  </si>
  <si>
    <t>Học phí</t>
  </si>
  <si>
    <t>(Hóa đơn)</t>
  </si>
  <si>
    <t>Cộng</t>
  </si>
  <si>
    <t>Lệ phí khám sức khỏe đầu khóa</t>
  </si>
  <si>
    <t>Thẻ sinh viên</t>
  </si>
  <si>
    <t>Học liệu</t>
  </si>
  <si>
    <t>Văn thể</t>
  </si>
  <si>
    <t>Áo Khoác</t>
  </si>
  <si>
    <t>Ghi nợ</t>
  </si>
  <si>
    <t>Số dư</t>
  </si>
  <si>
    <t>Đúng/Sai</t>
  </si>
  <si>
    <t>Ngày tháng năm sinh</t>
  </si>
  <si>
    <t xml:space="preserve">Họ và Tên </t>
  </si>
  <si>
    <t>MHS</t>
  </si>
  <si>
    <t>Nội dung chuyển khoản</t>
  </si>
  <si>
    <t>Tổng số tiền chuyển khoản</t>
  </si>
  <si>
    <t>Lệ phí tuyển sinh</t>
  </si>
  <si>
    <t>Doanh thu chưa thực hiện - thu ngắn hạn 3383</t>
  </si>
  <si>
    <t>Thu ngắn hạn</t>
  </si>
  <si>
    <t>MÔ TẢ</t>
  </si>
  <si>
    <t xml:space="preserve"> Lãi HĐ tiền gửi</t>
  </si>
  <si>
    <t>Lãi tiền gửi ngân hàng</t>
  </si>
  <si>
    <t>Tuyển Sinh QLĐT SP Hưng Yên</t>
  </si>
  <si>
    <t>Đặt Cọc</t>
  </si>
  <si>
    <t>TÀI KHOẢN 3388</t>
  </si>
  <si>
    <t>HSSV001</t>
  </si>
  <si>
    <t>PT077</t>
  </si>
  <si>
    <t xml:space="preserve">Đồng phục văn hóa </t>
  </si>
  <si>
    <t>Bảo hiểm YT</t>
  </si>
  <si>
    <t>Bảo hiểm TT</t>
  </si>
  <si>
    <t>Đồng phục TT</t>
  </si>
  <si>
    <t>QA Bảo hộ lao động</t>
  </si>
  <si>
    <t>KP CLC</t>
  </si>
  <si>
    <t>TK 348</t>
  </si>
  <si>
    <t>Thù lao BHYT</t>
  </si>
  <si>
    <t>Tủ thuốc</t>
  </si>
  <si>
    <t xml:space="preserve">Khuyến học </t>
  </si>
  <si>
    <t>Tạm thu GT -K49</t>
  </si>
  <si>
    <t>Tiền học lại thi lại</t>
  </si>
  <si>
    <t>Chuyền nhầm, NH trả về</t>
  </si>
  <si>
    <t>HSSV chưa rõ TT</t>
  </si>
  <si>
    <t>Chi hộ</t>
  </si>
  <si>
    <t>CÔ THƯƠNG</t>
  </si>
  <si>
    <t>PT 078</t>
  </si>
  <si>
    <t>PT010</t>
  </si>
  <si>
    <t>PT001</t>
  </si>
  <si>
    <t>PT002</t>
  </si>
  <si>
    <t>PT 018</t>
  </si>
  <si>
    <t>PT 017</t>
  </si>
  <si>
    <t>PT039</t>
  </si>
  <si>
    <t>PT029</t>
  </si>
  <si>
    <t>PT026</t>
  </si>
  <si>
    <t>PT 060</t>
  </si>
  <si>
    <t>PT 024</t>
  </si>
  <si>
    <t>PT 055</t>
  </si>
  <si>
    <t>PT063</t>
  </si>
  <si>
    <t>PT070</t>
  </si>
  <si>
    <t>PT055</t>
  </si>
  <si>
    <t>học lại</t>
  </si>
  <si>
    <t>Phí quản lý SV thực tập</t>
  </si>
  <si>
    <t>Liên doanh liên kết</t>
  </si>
  <si>
    <t>K49</t>
  </si>
  <si>
    <t>LPXT</t>
  </si>
  <si>
    <t>lpxt</t>
  </si>
  <si>
    <t>01/03/2026 08:31:54</t>
  </si>
  <si>
    <t>TKThe :1053054014, tai BFTVVNVX. MBVCB.13189241431.920544.NGUYEN THI NGOC chuyen tien.CT tu 1053054014 NGUYEN THI NGOC toi 12210001700374 TRUONG CD NGHE CN HA NOI tai BIDV                                                                                                                                             -B2B020097043603010831532026DBeq920544</t>
  </si>
  <si>
    <t>01/03/2026 16:34:12</t>
  </si>
  <si>
    <t>TKThe :0969622109, tai MSCBVNVX. @VA_V313152E670F84C5114_HD3024000VND_Doan Van Bao CD48OTO6_CD486510216208 DoanVanBaoO@L_1500262363_260301_-0200970422030116341120265NXU794830</t>
  </si>
  <si>
    <t>01/03/2026 19:09:36</t>
  </si>
  <si>
    <t>TKThe :19070899451014, tai Techcombank. Nguyen Van Thai lop cnddt2 khoa 49 FT26061970605750                                                                                                   -CTLNHIDI000014558841355-1/1-CRE-002</t>
  </si>
  <si>
    <t>01/03/2026 19:27:43</t>
  </si>
  <si>
    <t>TKThe :0731000688292, tai BFTVVNVX. MBVCB.13197021869.091362.chi dong hoc cho nguyen gia hieu.CT tu 0731000688292 DO THI HIEP toi 1221700374 TRUONG CD NGHE CN HA NOI tai BIDV                                                                                                                                          -B2B020097043603011927432026DBuh091362</t>
  </si>
  <si>
    <t>01/03/2026 20:29:02</t>
  </si>
  <si>
    <t>TKThe :0865355891, tai MSCBVNVX. @VA_V313150AE71692EAC34_HD9280000VND_Pham Manh Hung CD48CNTT2_CD486480202354 PhamManhHungO@L_1501477235_260301_-020097042203012029012026D7HW471908</t>
  </si>
  <si>
    <t>01/03/2026 21:00:01</t>
  </si>
  <si>
    <t>TKThe :0988260664, tai MSCBVNVX. @VA_V31315720353E504034_HD3024000VND_Le Van Quang Minh CD49CNDT2_256Q250241 LeVanQuangMinhO@L_1501624254_260301_-020097042203012100002026OSKX486377</t>
  </si>
  <si>
    <t>02/03/2026 07:08:04</t>
  </si>
  <si>
    <t>TKThe :16082005999999, tai Techcombank. @VA_V3131037DB6F8CFE004_HD9250000VND_Ta Duc Chien CD47CNC_CD47652019701 TaDucChien FT26061970831090O@L_1502736142_260302_                             -CTLNHIDI000014561429198-1/1-CRE-002</t>
  </si>
  <si>
    <t>02/03/2026 08:14:26</t>
  </si>
  <si>
    <t>1221700374 NGUYEN Van Nghia lop CD 47 oto CLC nop hoc phi ky 2</t>
  </si>
  <si>
    <t>02/03/2026 08:16:44</t>
  </si>
  <si>
    <t>1221700374 Tran Trung Anh lop CD 47 oto CLC nop hoc phi ky 2</t>
  </si>
  <si>
    <t>02/03/2026 09:43:16</t>
  </si>
  <si>
    <t>REM Tfr Ac:1770260769 O@L_080005_211601_0_0_1503543712_119803980369 0345265715 PHAN NGUYEN DUC VIET chuyen tien hoc lai mon tin hoc</t>
  </si>
  <si>
    <t>02/03/2026 09:43:20</t>
  </si>
  <si>
    <t>TKThe :9342400524, tai Vietcombank. MBVCB.13201901169.302039.DO VAN QUANG chuyen tien hoc lai tin hoc.CT tu 9342400524 DO VAN QUANG toi 1221700374 TRUONG CD NGHE CN HA NOI tai BIDV          -CTLNHIDI000014562723293-1/1-CRE-002</t>
  </si>
  <si>
    <t>02/03/2026 11:14:00</t>
  </si>
  <si>
    <t>TKThe :6006226666, tai Techcombank. @VA_V313122D82D06928C64_HD3024000VND_Nguyen Anh Tu CD49OTO3_256Q120542 NguyenAnhTu FT26061931250120O@L_1504050883_260302_                                 -CTLNHIDI000014563734826-1/1-CRE-002</t>
  </si>
  <si>
    <t>02/03/2026 12:25:13</t>
  </si>
  <si>
    <t>TKThe :108878428081, tai ICBVVNVX. QR - TA DINH CUONG Chuyen tien hieu chuyen not tien-02009704150302122513202600xI500176</t>
  </si>
  <si>
    <t>02/03/2026 12:27:06</t>
  </si>
  <si>
    <t>TKThe :0981405364, tai MSCBVNVX. @VA_V3131085CEB25BB0044_HD9280000VND_Ly Ha Manh CD49DH1_256Q010020 LyHaManhO@L_1504517220_260302_-0200970422030212270520268FOL990917</t>
  </si>
  <si>
    <t>02/03/2026 12:44:30</t>
  </si>
  <si>
    <t>TKThe :0968407925, tai MSCBVNVX. @VA_V31315D06AFC6CCA424_HD567000VND_Tran Duc Huy CD49CK2_256Q130079 TranDucHuyO@L_1504611266_260302_-020097042203021244292026520E528965</t>
  </si>
  <si>
    <t>02/03/2026 13:38:18</t>
  </si>
  <si>
    <t>TKThe :1064026442, tai BFTVVNVX. MBVCB.13204828623.161896.DO MINH TAI 256Q290028 CD49TQ1.CT tu 1064026442 DO MINH TAI toi 12210001700374 TRUONG CD NGHE CN HA NOI tai BIDV                                                                                                                                              -B2B020097043603021338182026DBid161896</t>
  </si>
  <si>
    <t>02/03/2026 14:25:38</t>
  </si>
  <si>
    <t>TKThe :290699999999, tai Techcombank. Tran duy anh 21072011 2610095 FT26061074240801                                                                                                          -CTLNHIDI000014565396713-1/1-CRE-002</t>
  </si>
  <si>
    <t>02/03/2026 14:30:07</t>
  </si>
  <si>
    <t>TKThe :0989265124, tai VPBank. Bui Khanh Toan K48 6Q0601                                                                                                                                      -CTLNHIDI000014565434520-1/1-CRE-002</t>
  </si>
  <si>
    <t>02/03/2026 14:41:53</t>
  </si>
  <si>
    <t>1221700374 TRAN ANH SON 26041993 0379627521</t>
  </si>
  <si>
    <t>02/03/2026 15:30:21</t>
  </si>
  <si>
    <t>1221700374 CD486510216549 Nguyen Viet Phuc</t>
  </si>
  <si>
    <t>02/03/2026 15:39:20</t>
  </si>
  <si>
    <t>TKThe :0550109369004, tai MSCBVNVX. Dang Diep Anh 2610098 ns 3072011-020097042203021539192026KS7L570827</t>
  </si>
  <si>
    <t>02/03/2026 15:48:04</t>
  </si>
  <si>
    <t>TKThe :29999294747, tai Techcombank. 2610097 Nguyen Minh Quy 0988048776 FT26061309088406                                                                                                      -CTLNHIDI000014566160836-1/1-CRE-002</t>
  </si>
  <si>
    <t>02/03/2026 15:50:02</t>
  </si>
  <si>
    <t>TKThe :0347585783, tai MSCBVNVX. NGUYEN DUY MANH hoc lai tin hoc-020097042203021550012026TWJB179686</t>
  </si>
  <si>
    <t>02/03/2026 15:51:43</t>
  </si>
  <si>
    <t>TKThe :0376567514, tai MSCBVNVX. DAO PHUONG NAM  Le Quang long hoc lai tin hoc-020097042203021551422026NSI1495519</t>
  </si>
  <si>
    <t>02/03/2026 15:55:14</t>
  </si>
  <si>
    <t>TKThe :0376567514, tai MSCBVNVX. Dao Phuong Nam hoc lai ky thuat cam bien-020097042203021555132026N31M585539</t>
  </si>
  <si>
    <t>02/03/2026 15:55:30</t>
  </si>
  <si>
    <t>TKThe :0923973122, tai MSCBVNVX. 2610096 Pham Duy Hoang 0911046626-020097042203021555292026B3KU220487</t>
  </si>
  <si>
    <t>02/03/2026 15:58:48</t>
  </si>
  <si>
    <t>TKThe :0343073031, tai MSCBVNVX. @VA_V3131220806922E4C24_HD3024000VND_Pham The Anh CD49NA1_256Q260019 PhamTheAnhO@L_1505561289_260302_-020097042203021558472026MXOK271619</t>
  </si>
  <si>
    <t>02/03/2026 15:59:22</t>
  </si>
  <si>
    <t>TKThe :0343073031, tai MSCBVNVX. @VA_V31318279F33EE1E574_HD3024000VND_Vu Tuan Nam CD49NA1_256Q260018 VuTuanNamO@L_1505563603_260302_-020097042203021559202026EJNH692004</t>
  </si>
  <si>
    <t xml:space="preserve">Ngắn hạn </t>
  </si>
  <si>
    <t>Lpxt</t>
  </si>
  <si>
    <t>Thu K50</t>
  </si>
  <si>
    <t>02/03/2026 17:53:54</t>
  </si>
  <si>
    <t>TKThe :19074567974019, tai Techcombank. @VA_V313109F10A9048A614_HD3024000VND_Mai Tuan Cuong CD49OTO6_256Q120468 MaiTuanCuong FT260617076266O@L_1506271719_260302_                             -CTLNHIDI000014567598551-1/1-CRE-002</t>
  </si>
  <si>
    <t>02/03/2026 17:54:51</t>
  </si>
  <si>
    <t>TKThe :3803091977, tai VPBank. NGUYEN GIA HAO LOP CD47CNTT1 NOP HP                                                                                                                            -CTLNHIDI000014567608832-1/1-CRE-002</t>
  </si>
  <si>
    <t>02/03/2026 19:30:34</t>
  </si>
  <si>
    <t>TKThe :000353350001, tai LPBank. CD47.6210402.023Dao Linh HuongCD47DH, ma GD 100000093146784                                                                                                  -CTLNHIDI000014568612006-1/1-CRE-002</t>
  </si>
  <si>
    <t>02/03/2026 19:59:08</t>
  </si>
  <si>
    <t>TKThe :103877024466, tai ICBVVNVX. @VA_V3131528708DDE780B4_HD3024000VND_Hoang Minh Thanh CD47OTO5_QR - CD476510216181 HoangMinhThanhO@L_1507000779_260302_-020097041503021959082026qDxj978089</t>
  </si>
  <si>
    <t>02/03/2026 20:39:19</t>
  </si>
  <si>
    <t>TKThe :1040456278, tai BFTVVNVX. @VA_V313184360720FDD524_HD9280000VND_Nguyen Manh Cuong CD48CNTT2_MBVCB.13210797221.963331.CD4864802020042 NguyenManhCuong.CT tu                                                                                                                                  O@L_1507219519_260302_-B2B020097043603022039192026DBcb963331</t>
  </si>
  <si>
    <t>02/03/2026 20:42:52</t>
  </si>
  <si>
    <t>TKThe :11199998386, tai MSCBVNVX. NGUYEN DUC NAM chuyen tien-020097042203022042522026GF6B970817</t>
  </si>
  <si>
    <t>02/03/2026 21:08:17</t>
  </si>
  <si>
    <t>TKThe :103602104206, tai ICBVVNVX. @VA_V31316215997CAA7E34_HD3024000VND_Tran Minh Chi CD48OTO6_QR - CD486510216405 TranMinhChiO@L_1507372216_260302_-020097041503022108172026JV4d281704</t>
  </si>
  <si>
    <t>02/03/2026 22:11:37</t>
  </si>
  <si>
    <t>TKThe :144343832, tai VPBank. @VA_V313114B83EFC2E4584_HD3024000VND_Nguyen Anh Quan CD49OTO6_256Q120530 NguyenAnhQuanO@L_1507649560_260302_                                                    -CTLNHIDI000014569991130-1/1-CRE-002</t>
  </si>
  <si>
    <t>02/03/2026 22:15:02</t>
  </si>
  <si>
    <t>1221700374 Ta Quang Ky K48 6Q1207 hk2</t>
  </si>
  <si>
    <t>02/03/2026 22:37:46</t>
  </si>
  <si>
    <t>1221700374 Nguyen Trong Tho K48 6Q1209 hk2</t>
  </si>
  <si>
    <t>02/03/2026 22:39:11</t>
  </si>
  <si>
    <t>1221700374 Do Viet Tuan K48 6Q1209 hk2</t>
  </si>
  <si>
    <t>03/03/2026 04:19:35</t>
  </si>
  <si>
    <t>TKThe :1019976592, tai BFTVVNVX. @VA_V31318C61DB935FFA14_HD9280000VND_Do Hoang Linh CD48CNTT1_MBVCB.13212745659.252504.CD486480202023 DoHoangLinh.CT tu 101997659                                                                                                                                 O@L_1508250735_260303_-B2B020097043603030419352026DBgz252504</t>
  </si>
  <si>
    <t>03/03/2026 08:02:41</t>
  </si>
  <si>
    <t>TKThe :700022400819, tai Shinhan Bank V. DO MINH VU LOP CD49TDH2 SDT 0375641995                                                                                                               -CTLNHIDI000014571546984-1/1-CRE-002</t>
  </si>
  <si>
    <t>03/03/2026 08:32:30</t>
  </si>
  <si>
    <t>TKThe :100878803022, tai ICBVVNVX. QR - NGUYEN NGOC BACH 18-10-2005 ma ho so 2610101-020097041503030832302026l6RO872523</t>
  </si>
  <si>
    <t>03/03/2026 08:32:40</t>
  </si>
  <si>
    <t>1221700374 CD48.6510201.33 Le Viet Duc CD48CK1</t>
  </si>
  <si>
    <t>03/03/2026 08:51:41</t>
  </si>
  <si>
    <t>TKThe :0352454493, tai MSCBVNVX. hoang quy sang 21032005 2610026-020097042203030851402026ABZB597168</t>
  </si>
  <si>
    <t>03/03/2026 09:02:20</t>
  </si>
  <si>
    <t>TKThe :271219816868, tai MSCBVNVX. Nguyen Duc Hieu 030411  2610102 Cntt-020097042203030902192026YIFA794211</t>
  </si>
  <si>
    <t>03/03/2026 09:45:26</t>
  </si>
  <si>
    <t>TKThe :0377254486, tai MSCBVNVX. Nguyen Dinh Ha hoc lai ky nang mem-020097042203030945262026CT7B659376</t>
  </si>
  <si>
    <t>03/03/2026 09:45:37</t>
  </si>
  <si>
    <t>TKThe :01903200566888, tai MSCBVNVX. Le Trung Hieu hoc lai mon bao duong va sua chua dong co-0200970422030309453620261R8L235797</t>
  </si>
  <si>
    <t>03/03/2026 09:46:46</t>
  </si>
  <si>
    <t>TKThe :19075953333016, tai Techcombank. HOANG XUAN TUNG hoc lai ky nang mem FT26062706010742                                                                                                  -CTLNHIDI000014572520438-1/1-CRE-002</t>
  </si>
  <si>
    <t>03/03/2026 09:49:56</t>
  </si>
  <si>
    <t>TKThe :0730100230184, tai MSCBVNVX. Nguyen Minh Khoi 2610103 ns 231011-02009704220303094955202670C2616250</t>
  </si>
  <si>
    <t>03/03/2026 10:10:19</t>
  </si>
  <si>
    <t>TKThe :660410848888, tai MSCBVNVX. 2610024.. Nguyen Minh Duc.11062011 .0985643748-020097042203031010182026ZW2T398010</t>
  </si>
  <si>
    <t>03/03/2026 11:32:56</t>
  </si>
  <si>
    <t>1221700374 daonamduong nguyen thienbang nguyen dai nghia k49 oto clc 1</t>
  </si>
  <si>
    <t>03/03/2026 11:45:10</t>
  </si>
  <si>
    <t>1221700374 PHAM VAN TRA Chuyen tien</t>
  </si>
  <si>
    <t>03/03/2026 12:24:24</t>
  </si>
  <si>
    <t>1221700374 Le Duy Nam Cao lop CD48oto 6 nop hoc phi ky 2</t>
  </si>
  <si>
    <t>03/03/2026 12:49:51</t>
  </si>
  <si>
    <t>TKThe :0325529793, tai MSCBVNVX. Pham Quoc Anh chuyen khoan nhanh qua Zalo-020097042203031249502026HKA4673548</t>
  </si>
  <si>
    <t>03/03/2026 13:49:37</t>
  </si>
  <si>
    <t>1221700374 DUONG QUOC VIET Chuyen tien</t>
  </si>
  <si>
    <t>03/03/2026 14:00:35</t>
  </si>
  <si>
    <t>TKThe :0451000276819, tai BFTVVNVX. MBVCB.13217868962.534270.NGUYEN THANH TUE 28122011 2610107.CT tu 0451000276819 NGUYEN QUYNH HOA toi 1221700374 TRUONG CD NGHE CN HA NOI tai BIDV                                                                                                                                    -B2B020097043603031400342026DBit534270</t>
  </si>
  <si>
    <t>03/03/2026 14:15:19</t>
  </si>
  <si>
    <t>1221700374 256L010022 pham viet bao k49CDH1 LT</t>
  </si>
  <si>
    <t>03/03/2026 14:30:00</t>
  </si>
  <si>
    <t>TKThe :100005306030, tai ICBVVNVX. QR - CD48CK1 48 SV-020097041503031430002026hHWh870870</t>
  </si>
  <si>
    <t>k49</t>
  </si>
  <si>
    <t>03/03/2026 14:26:14</t>
  </si>
  <si>
    <t>TKThe :0021000277293, tai BFTVVNVX. MBVCB.13218133000.700237.2610108 VU QUANG DUNG 0989600268.CT tu 0021000277293 VU QUANG CUONG toi 1221700374 TRUONG CD NGHE CN HA NOI tai BIDV                                                                                                                                       -B2B020097043603031426142026DBbp700237</t>
  </si>
  <si>
    <t>03/03/2026 14:46:51</t>
  </si>
  <si>
    <t>TKThe :888615112007, tai Techcombank. 2610063 Nguyen Tuan Anh 0979244281 FT26062927387801                                                                                                     -CTLNHIDI000014575239832-1/1-CRE-002</t>
  </si>
  <si>
    <t>03/03/2026 15:51:33</t>
  </si>
  <si>
    <t>TKThe :0358665591, tai CAKE by VPBank. NGUYEN THANH DAT hoc lai tin                                                                                                                           -CTLNHIDI000014575827058-1/1-CRE-002</t>
  </si>
  <si>
    <t>03/03/2026 17:00:08</t>
  </si>
  <si>
    <t>TKThe :21667686868, tai MSCBVNVX. NGUYEN THANH TUNG chuyen tien hoc lai kt va sc mang truyen thong o to-020097042203031700072026BG7D437929</t>
  </si>
  <si>
    <t>03/03/2026 18:57:42</t>
  </si>
  <si>
    <t>TKThe :0510101469008, tai MSCBVNVX. NGUYEN HA PHUONG 22012011 2610110-020097042203031857412026AYNC736159</t>
  </si>
  <si>
    <t>03/03/2026 20:51:33</t>
  </si>
  <si>
    <t>TKThe :104001722048, tai ICBVVNVX. QR - TRAN QUOC HOANG chuyen tien-020097041503032051332026Rdni418310</t>
  </si>
  <si>
    <t>03/03/2026 21:13:53</t>
  </si>
  <si>
    <t>REM Tfr Ac:1770260769 O@L_080005_211601_0_0_1513305099_120014949239 0368296783 NguyenNgocTuCD47CNTT1HocPhiHKII</t>
  </si>
  <si>
    <t>04/03/2026 07:47:18</t>
  </si>
  <si>
    <t>1221700374 TRAN XUAN QUOC AN. CD49OTO7. dong hoc phi ki II. 2025.2026</t>
  </si>
  <si>
    <t>04/03/2026 08:04:05</t>
  </si>
  <si>
    <t>REM Tfr Ac:8813638137 O@L_H0I001_212501_0_0_1514635004_V313141945914D0AA54_Pham Anh Hieu CD49OTO1_@VA256Q120015 PhamAnhHieu_Pham Anh Hieu CD49OTO1_HD:41945914D0AA54</t>
  </si>
  <si>
    <t>04/03/2026 08:42:44</t>
  </si>
  <si>
    <t>TKThe :3852468338, tai Techcombank. Tran Binh Minh ns10122011 ma 2610113 FT26063936272010                                                                                                     -CTLNHIDI000014581093105-1/1-CRE-002</t>
  </si>
  <si>
    <t>04/03/2026 09:32:23</t>
  </si>
  <si>
    <t>TKThe :102876307040, tai ICBVVNVX. QR - PHAM THI NHAM chuyen tien-020097041503040932222026ac0s360505</t>
  </si>
  <si>
    <t>04/03/2026 09:58:19</t>
  </si>
  <si>
    <t>TKThe :99934599999999, tai Techcombank. 2610117 TRAN THAO MY 25 08 2011 FT26063879645102                                                                                                      -CTLNHIDI000014581836611-1/1-CRE-002</t>
  </si>
  <si>
    <t>04/03/2026 10:03:27</t>
  </si>
  <si>
    <t>TKThe :102879771552, tai ICBVVNVX. QR - DINH NGOC ANH chuyen tien-020097041503041003272026PJ1X452489</t>
  </si>
  <si>
    <t>04/03/2026 11:11:15</t>
  </si>
  <si>
    <t>TKThe :19030120485013, tai Techcombank. LE THI HOA chuyen tien FT26063375247069                                                                                                               -CTLNHIDI000014582621661-1/1-CRE-002</t>
  </si>
  <si>
    <t>04/03/2026 13:40:04</t>
  </si>
  <si>
    <t>TKThe :1059045556, tai BFTVVNVX. MBVCB.13229976905.243024.VU QUANG TRUNG chuyen tien.CT tu 1059045556 VU QUANG TRUNG toi 1221700374 TRUONG CD NGHE CN HA NOI tai BIDV                                                                                                                                                   -B2B020097043603041340042026DBfm243024</t>
  </si>
  <si>
    <t>04/03/2026 14:50:41</t>
  </si>
  <si>
    <t>REM Tfr Ac:1770260769 O@L_080005_211601_0_0_1516746556_120095150828 0348777178 LE DINH ANH chuyen tien qua MoMo</t>
  </si>
  <si>
    <t>04/03/2026 16:03:48</t>
  </si>
  <si>
    <t>TKThe :0947416011, tai MSCBVNVX. TRAN MINH DAT chuyen tien-0200970422030416034720267RX1612794</t>
  </si>
  <si>
    <t>04/03/2026 16:07:54</t>
  </si>
  <si>
    <t>TKThe :9321041099999, tai MSCBVNVX. @VA_V3131238A6EF4B91D14_HD9250000VND_Vu Ly Lam CD47CNC_CD47652019718 VuLyLamO@L_1517114663_260304_-020097042203041607532026E02R432654</t>
  </si>
  <si>
    <t>04/03/2026 16:23:19</t>
  </si>
  <si>
    <t>@5468318@CDN CNHN CHUYEN KHOAN TRA LAI TIEN GIAO TRINH LOP CD47CK</t>
  </si>
  <si>
    <t>04/03/2026 16:26:29</t>
  </si>
  <si>
    <t>@5468318@THU PHI THANH TOAN BANG KE-0403.xlsx</t>
  </si>
  <si>
    <t>04/03/2026 20:54:26</t>
  </si>
  <si>
    <t>1221700374 Trinh Tu Duy lop CD47 oto CLC nop hoc phi ky 2</t>
  </si>
  <si>
    <t>04/03/2026 20:56:42</t>
  </si>
  <si>
    <t>1221700374 Nguyen Dang Duong lop CD 47 o to CLC nop hoc phi ky 2</t>
  </si>
  <si>
    <t>05/03/2026 10:20:35</t>
  </si>
  <si>
    <t>THU PHI DUY TRI DICH VU BIDV DIRECT KY 2/2026</t>
  </si>
  <si>
    <t>05/03/2026 11:32:19</t>
  </si>
  <si>
    <t>1221700374 nguyen tien tai cd49dcn2 hp hk2</t>
  </si>
  <si>
    <t>05/03/2026 12:26:50</t>
  </si>
  <si>
    <t>TKThe :0862122561, tai MSCBVNVX. DINH VAN THANH lop CD47CK hoc phi ki 2 20252026-020097042203051226492026LHO9496629</t>
  </si>
  <si>
    <t>05/03/2026 12:50:21</t>
  </si>
  <si>
    <t>TKThe :103005765327, tai ICBVVNVX. chu thi hong lop cd49NA1 dong tien hoc ky 2-0200970415030512502120263acX519334</t>
  </si>
  <si>
    <t>05/03/2026 13:58:40</t>
  </si>
  <si>
    <t>TKThe :0335322760, tai MSCBVNVX. @VA_V31311CAB7CC48E69E4_HD3024000VND_Tran Ngoc Hung CD48OTO6_CD486510216411 TranNgocHungO@L_1522032417_260305_-020097042203051358392026EWSB796538</t>
  </si>
  <si>
    <t>05/03/2026 14:01:04</t>
  </si>
  <si>
    <t>TKThe :0868909583, tai MSCBVNVX. 16 sinh vien hoc lai mon tin hoc-020097042203051401032026A4HL493589</t>
  </si>
  <si>
    <t>05/03/2026 14:14:38</t>
  </si>
  <si>
    <t>TKThe :0947416011, tai MSCBVNVX. TRAN MINH DAT chuyen tien-0200970422030514143720260QT3132193</t>
  </si>
  <si>
    <t>05/03/2026 14:15:04</t>
  </si>
  <si>
    <t>TKThe :0862389004, tai MSCBVNVX. NGUYEN QUOC KHANH chuyen tien hoc lai th nguoi-0200970422030514150420265U6F495291</t>
  </si>
  <si>
    <t>05/03/2026 14:23:05</t>
  </si>
  <si>
    <t>TKThe :106875489407, tai ICBVVNVX. DANG CAO THANG chuyen tien-0200970415030514230420267dq1764305</t>
  </si>
  <si>
    <t>05/03/2026 14:28:34</t>
  </si>
  <si>
    <t>TKThe :6661704888, tai Techcombank. @VA_V313188A77C362A9184_HD3024000VND_Nguyen Duc Linh CD49CLCOTO1_2500120125 NguyenDucLinh FT26064237625O@L_1522166422_260305_                             -CTLNHIDI000014594288454-1/1-CRE-002</t>
  </si>
  <si>
    <t>05/03/2026 14:45:32</t>
  </si>
  <si>
    <t>TKThe :11110102005, tai MSCBVNVX. VU MINH QUAN hoc lai Tieng Anh-0200970422030514453120265RZ2114580</t>
  </si>
  <si>
    <t>05/03/2026 14:45:43</t>
  </si>
  <si>
    <t>TKThe :2251220056868, tai MSCBVNVX. VU THE VINH chuyen tien hoc lai tieng anh-0200970422030514454220262XDM974157</t>
  </si>
  <si>
    <t>05/03/2026 14:51:30</t>
  </si>
  <si>
    <t>TKThe :0971932085, tai MSCBVNVX. @VA_V313120833D3D8851B4_HD3024000VND_Sai Le Duc Hai CD49CNDT2_256Q250204 SaiLeDucHaiO@L_1522268927_260305_-0200970422030514512920261O70359974</t>
  </si>
  <si>
    <t>05/03/2026 15:10:40</t>
  </si>
  <si>
    <t>TKThe :0790106881007, tai MSCBVNVX. Miu Miu chuyen khoan nhanh qua Zalo-020097042203051510392026ZKEC198515</t>
  </si>
  <si>
    <t>05/03/2026 15:21:00</t>
  </si>
  <si>
    <t>TKThe :839671377868, tai Techcombank. 2610131 Do Hien Luong 15 10 2011 FT26064076546405                                                                                                       -CTLNHIDI000014594777944-1/1-CRE-002</t>
  </si>
  <si>
    <t>05/03/2026 18:27:15</t>
  </si>
  <si>
    <t>TKThe :9862177230, tai BFTVVNVX. MBVCB.13246746591.999260.NGUYEN VAN TUAN-Cd49cntt2-Hp k2.CT tu 9862177230 NGUYEN VAN TUAN toi 12210001700374 TRUONG CD NGHE CN HA NOI tai BIDV                                                                                                                                         -B2B020097043603051827152026DBso999260</t>
  </si>
  <si>
    <t>05/03/2026 18:27:30</t>
  </si>
  <si>
    <t>REM Tfr Ac:8807575506 O@L_H0I001_212501_0_0_1523493612_V31317528875055FDC4_Do Tien Dat CD49OTO1_@VA256Q120007 DoTienDat_Do Tien Dat CD49OTO1_HD:7528875055FDC4</t>
  </si>
  <si>
    <t>05/03/2026 19:14:04</t>
  </si>
  <si>
    <t>REM Tfr Ac:1770260769 O@L_080005_211601_0_0_1523765748_V313111F647A9EEF344_HD3024000VND_Phan Gia Toai CD47CK_1523766066_120254055081 0776242078 CD47651020122 PhanGiaToai</t>
  </si>
  <si>
    <t>05/03/2026 20:51:30</t>
  </si>
  <si>
    <t>TKThe :5697121981, tai Techcombank. @VA_V313154524C554C0A14_HD8680000VND_Nguyen Thanh Mai 49CSSD3_255Q200030 NguyenThanhMai FT2606450860898O@L_1524284725_260305_                             -CTLNHIDI000014598355237-1/1-CRE-002</t>
  </si>
  <si>
    <t>05/03/2026 21:47:03</t>
  </si>
  <si>
    <t>TKThe :1240207002131, tai VBAAVNVX. @VA_V313189C9785CAFA114_HD7200000VND_Pham Viet Cuong CD49KT1_BIDV;V313189C9785CAFA114;256Q050011 PhamVietCuong                                                                                                                                                O@L_1524544477_260305_-B2B020097040503052147032026XU2G055433</t>
  </si>
  <si>
    <t>05/03/2026 22:50:25</t>
  </si>
  <si>
    <t>TKThe :0491000167710, tai BFTVVNVX. MBVCB.13250223565.187036.Caovanquang CD49CNDT2.CT tu 0491000167710 CAO THI QUYNH ANH toi 1221700374 TRUONG CD NGHE CN HA NOI tai BIDV                                                                                                                                               -B2B020097043603052250252026DBsu187036</t>
  </si>
  <si>
    <t>06/03/2026 08:40:37</t>
  </si>
  <si>
    <t>TKThe :19073878385010, tai Techcombank. LY MUI XIEN hoc lai ke toan doanh nghiep 2 FT26065230606065                                                                                           -CTLNHIDI000014600882094-1/1-CRE-002</t>
  </si>
  <si>
    <t>06/03/2026 08:53:41</t>
  </si>
  <si>
    <t>TKThe :0021000662482, tai BFTVVNVX. MBVCB.13252373185.671722.chu tran loc mhs 2610106.CT tu 0021000662482 NGUYEN THI TIEP toi 1221700374 TRUONG CD NGHE CN HA NOI tai BIDV                                                                                                                                              -B2B020097043603060853412026DBlp671722</t>
  </si>
  <si>
    <t>06/03/2026 08:58:28</t>
  </si>
  <si>
    <t>TKThe :0982768807, tai MSCBVNVX. @VA_V3131071D1C213F7E04_HD3024000VND_Nguyen Doan Duc CD49CNDT2_256Q250245 NguyenDoanDucO@L_1525956259_260306_-020097042203060858272026S6AU521658</t>
  </si>
  <si>
    <t>06/03/2026 09:12:36</t>
  </si>
  <si>
    <t>TKThe :14022220110016, tai Techcombank. NGUYEN THUY NGA chuyen tien FT26065654316907                                                                                                          -CTLNHIDI000014601199999-1/1-CRE-002</t>
  </si>
  <si>
    <t>06/03/2026 09:15:55</t>
  </si>
  <si>
    <t>REM Tfr Ac:4711632010 O@L_H0I001_212501_0_0_1526052684_V313172D125ACA15034_Le Minh Duc CD49OTO1_@VA256Q120280 LeMinhDuc_Le Minh Duc CD49OTO1_HD:72D125ACA15034</t>
  </si>
  <si>
    <t>06/03/2026 14:00:13</t>
  </si>
  <si>
    <t>TKThe :084472822, tai VIB. Pham Trung Duc hoc lai thiet ke minh hoa adobe ilus                                                                                                                -CTLNHIDI000014604063911-1/1-CRE-002</t>
  </si>
  <si>
    <t>06/03/2026 14:58:49</t>
  </si>
  <si>
    <t>REM Tfr Ac:1770260769 O@L_080005_211601_0_0_1527748324_V31312AEE5D96B12234_HD3024000VND_Nguyen Minh Quan CD49NA1_1527748323_120349987630 0399023687 256Q260011 NguyenMinhQuan</t>
  </si>
  <si>
    <t>06/03/2026 15:34:38</t>
  </si>
  <si>
    <t>TKThe :0090519845555, tai MSCBVNVX. doan quang khoa 2610140 NS 552011-020097042203061534382026SFQU609181</t>
  </si>
  <si>
    <t>06/03/2026 15:42:39</t>
  </si>
  <si>
    <t>TKThe :99999921996, tai Techcombank. @VA_V31316FA8A665B302B4_HD3024000VND_Dang Van Duy CD49DL1_256Q090051 DangVanDuy FT26065960572649O@L_1527963757_260306_                                   -CTLNHIDI000014605012117-1/1-CRE-002</t>
  </si>
  <si>
    <t>06/03/2026 16:45:23</t>
  </si>
  <si>
    <t>TKThe :0704054078, tai MSCBVNVX. Hoang vinh nam CDNA1 nop hoc phi ky 2-020097042203061645222026U41Z931383</t>
  </si>
  <si>
    <t>06/03/2026 21:12:23</t>
  </si>
  <si>
    <t>1221700374 Nguyen Van Truong CD49CNDT01</t>
  </si>
  <si>
    <t>06/03/2026 21:17:38</t>
  </si>
  <si>
    <t>TKThe :13320606255016, tai Techcombank. NGUYEN HUY HOANG 256Q290016 nop hp k2 FT26066149508021                                                                                                -CTLNHIDI000014608485808-1/1-CRE-002</t>
  </si>
  <si>
    <t>07/03/2026 08:44:24</t>
  </si>
  <si>
    <t>TKThe :778099999999, tai Techcombank. PHAM THU HANG chuyen tien FT26066307083539                                                                                                              -CTLNHIDI000014610679595-1/1-CRE-002</t>
  </si>
  <si>
    <t>07/03/2026 12:37:29</t>
  </si>
  <si>
    <t>REM Tfr Ac:8857998625 O@L_H0I001_212501_0_0_1532458438_V31314D8C1B8C932024_Luong Hoang Viet CD47CNTT2_@VACD476480202057 LuongHoangViet cd47cntt2 dong hoc phi _Luong Hoang Viet CD47CNTT2_HD:4D8C1B8C932024</t>
  </si>
  <si>
    <t>07/03/2026 20:14:32</t>
  </si>
  <si>
    <t>TKThe :19037966197015, tai Techcombank. Nguyen Dinh huy lop k49na01 dong hoc phi hoc ky 2 FT26066206649734                                                                                    -CTLNHIDI000014617037210-1/1-CRE-002</t>
  </si>
  <si>
    <t>08/03/2026 14:47:06</t>
  </si>
  <si>
    <t>TKThe :0021000383103, tai BFTVVNVX. MBVCB.13282501654.456913.Thi sinh Le Trung Kien nop le phi xet tuyen.CT tu 0021000383103 NGUYEN THI HONG ANH toi 1221700374 TRUONG CD NGHE CN HA NOI tai BIDV                                                                                                                       -B2B020097043603081447062026DBix456913</t>
  </si>
  <si>
    <t>08/03/2026 20:24:42</t>
  </si>
  <si>
    <t>1221700374 Duong Nguyen Hung lop CD 47 oto CLC nop hoc phi ky 2</t>
  </si>
  <si>
    <t>09/03/2026 09:41:49</t>
  </si>
  <si>
    <t>TKThe :19024443005010, tai Techcombank. 2610036 Pham Minh Dang 0914374766 FT26068629099708                                                                                                    -CTLNHIDI000014629771453-1/1-CRE-002</t>
  </si>
  <si>
    <t>09/03/2026 09:45:36</t>
  </si>
  <si>
    <t>TKThe :0363675622, tai MSCBVNVX. LE GIA HUY dong tien hoc lai ky nang mem-020097042203090945252026ZB2F945106</t>
  </si>
  <si>
    <t>09/03/2026 10:02:51</t>
  </si>
  <si>
    <t>PHI BSMS T02.2026. MA KH1992159.</t>
  </si>
  <si>
    <t>09/03/2026 10:08:36</t>
  </si>
  <si>
    <t>PHI QUAN LY TAI KHOAN 122xxx374 T03 2026</t>
  </si>
  <si>
    <t>09/03/2026 10:26:45</t>
  </si>
  <si>
    <t>TKThe :6661704888, tai MSCBVNVX. 256Q120043 Nguyen Van Thi-020097042203091026442026NOAZ324502</t>
  </si>
  <si>
    <t>09/03/2026 10:29:09</t>
  </si>
  <si>
    <t>TKThe :66802102005, tai MSCBVNVX. NGUYEN VAN TIEN hoc lai tin hoc-020097042203091029082026DVOB552579</t>
  </si>
  <si>
    <t>09/03/2026 10:42:03</t>
  </si>
  <si>
    <t>TKThe :03101015124705, tai MSB. T12 Ngan han 175cc                                                                                                                                            -CTLNHIDI000014630444974-1/1-CRE-002</t>
  </si>
  <si>
    <t>09/03/2026 10:44:40</t>
  </si>
  <si>
    <t>TKThe :03101015124705, tai MSB. 25NHTMT04 15 CC                                                                                                                                               -CTLNHIDI000014630469586-1/1-CRE-002</t>
  </si>
  <si>
    <t>09/03/2026 10:54:35</t>
  </si>
  <si>
    <t>TKThe :03101015124705, tai MSB. 25SPCD46 25SPCD47 44 HV                                                                                                                                       -CTLNHIDI000014630567090-1/1-CRE-002</t>
  </si>
  <si>
    <t>09/03/2026 11:27:12</t>
  </si>
  <si>
    <t>1221700374 CD48.6510216.533 Lam Van Khanh</t>
  </si>
  <si>
    <t>09/03/2026 11:43:07</t>
  </si>
  <si>
    <t>@@233137909@@_CHIHO_Truong cao dang nghe cong nghiep Ha Noi_Thanh toan tien luong cho CBNV thang 03 2026  CCTL  TRUONG CD NGHE CN HA NOI 1221700374</t>
  </si>
  <si>
    <t>@@233139848@@_CHIHO_Truong cao dang nghe cong nghiep Ha Noi_Thanh toan tien luong cho CBNV thang 03 2026  SN  TRUONG CD NGHE CN HA NOI 1221700374</t>
  </si>
  <si>
    <t>@@233139847@@_CHIHO_Truong cao dang nghe cong nghiep Ha Noi_Thanh toan tien luong cho HDLD thang 03 2026  SN  TRUONG CD NGHE CN HA NOI 1221700374</t>
  </si>
  <si>
    <t>09/03/2026 12:01:37</t>
  </si>
  <si>
    <t>TKThe :266695555, tai MSCBVNVX. NVSPCDD02.2026 - VIEN KIEM HOA NOP HOC PHI BOI DUONG NGHIEP VU SU PHAM 4 GIAO VIEN-020097042203091201362026C7QO619275</t>
  </si>
  <si>
    <t>09/03/2026 15:06:25</t>
  </si>
  <si>
    <t>1221700374 duong anh quan hoc lai an toan lao dong</t>
  </si>
  <si>
    <t>09/03/2026 15:07:37</t>
  </si>
  <si>
    <t>TKThe :2280120038386, tai MSCBVNVX. pham bao chung hoc lai mon ky thuat dien va dien tu cong suat-020097042203091507362026LJ7U801518</t>
  </si>
  <si>
    <t>09/03/2026 15:08:17</t>
  </si>
  <si>
    <t>TKThe :105874198045, tai ICBVVNVX. QR - PHAM VAN THANH hoc lai an toan lao dong-020097041503091508172026jI0S920638</t>
  </si>
  <si>
    <t>09/03/2026 15:45:12</t>
  </si>
  <si>
    <t>@5489574@CDNCNHN TT TIEN LUONG CHO CBNV THANG 03.2026</t>
  </si>
  <si>
    <t>09/03/2026 15:46:42</t>
  </si>
  <si>
    <t>@5489574@THU PHI THANH TOAN BANG KE-0903.xlsx</t>
  </si>
  <si>
    <t>05/03/2026 08:43:23</t>
  </si>
  <si>
    <t>TKThe :106872380252, tai ICBVVNVX. QR - NGUYEN NGOC THANG chuyen tien nguyen quoc khanh MHS 2610129 SN 25-10-2011-020097041503050843232026wz1m631551</t>
  </si>
  <si>
    <t>05/03/2026 08:45:29</t>
  </si>
  <si>
    <t>REM Tfr Ac:3151179086 O@L_015005_211701_0_0_1520342159_ZP7CNRTHPVHN, Tran Duy Hai 25.7.1976 nop hoc phi NVSP</t>
  </si>
  <si>
    <t>05/03/2026 09:01:47</t>
  </si>
  <si>
    <t>TKThe :1035604139, tai Vietcombank. MBVCB.13239144883.147728.NGUYEN VIET NAM chuyen tien.CT tu 1035604139 NGUYEN VIET NAM toi 1221700374 TRUONG CD NGHE CN HA NOI tai BIDV                    -CTLNHIDI000014590648779-1/1-CRE-002</t>
  </si>
  <si>
    <t>05/03/2026 09:35:17</t>
  </si>
  <si>
    <t>TKThe :9399406951, tai Vietcombank. MBVCB.13239529307.396669.LE DANG NAM , DO VAN QUANG, LE GIA HUY hoc lai bao duong he thong treo lai.CT tu 9399406951 LE DANG NAM toi 1221700374 TRUONG CD -CTLNHIDI000014591024092-1/1-CRE-002</t>
  </si>
  <si>
    <t>05/03/2026 10:01:18</t>
  </si>
  <si>
    <t>REM Tfr Ac:1770260769 O@L_080005_211601_0_0_1520775529_V31312D47A3E62DEF14_HD450000VND_Dinh Mai Thuong CD48KT1_1520775171_120187899847 0386372633 CD45634030213 DinhMaiThuong</t>
  </si>
  <si>
    <t>NVSP</t>
  </si>
  <si>
    <t>cô thương</t>
  </si>
  <si>
    <t>10/03/2026 09:17:28</t>
  </si>
  <si>
    <t>TKThe :03801019922889, tai MSB. 15sv thi lai Dien tu cong suat                                                                                                                                -CTLNHIDI000014638909137-1/1-CRE-002</t>
  </si>
  <si>
    <t>10/03/2026 09:37:10</t>
  </si>
  <si>
    <t>TKThe :0866454775, tai OCB. NGUYEN TIEN DUY chuyen tien                                                                                                                                       -CTLNHIDI000014639135520-1/1-CRE-002</t>
  </si>
  <si>
    <t>10/03/2026 09:45:26</t>
  </si>
  <si>
    <t>TKThe :9704229257126123, tai MB. 2610160 Duong Ngoc Vien 01 08 2011                                                                                                                           -CTLNHIDI000014639231393-1/1-CRE-002</t>
  </si>
  <si>
    <t>10/03/2026 10:08:30</t>
  </si>
  <si>
    <t>1221700374 NGUYEN VY DAT 26071986 nop tien hoc phi 3 tren 7 nghe oto</t>
  </si>
  <si>
    <t>10/03/2026 10:13:20</t>
  </si>
  <si>
    <t>TKThe :19031192294014, tai Techcombank. ma hs 2610163 Tran Tung Lam 0975995585 FT26069002232322                                                                                               -CTLNHIDI000014639564902-1/1-CRE-002</t>
  </si>
  <si>
    <t>10/03/2026 10:13:44</t>
  </si>
  <si>
    <t>TKThe :19050174356023, tai Techcombank. Ma ho so cua con Bui Le Hieu 0947895371 FT26069308806001                                                                                              -CTLNHIDI000014639570004-1/1-CRE-002</t>
  </si>
  <si>
    <t>10/03/2026 10:28:49</t>
  </si>
  <si>
    <t>TKThe :0947032382, tai MSCBVNVX. LE TIEN ANH chuyen tien-020097042203101028492026NHJ2305908</t>
  </si>
  <si>
    <t>10/03/2026 10:51:41</t>
  </si>
  <si>
    <t>TKThe :88299290988, tai Tienphongbank. 2610166nguyenquynhchi23102011                                                                                                                          -CTLNHIDI000014640026528-1/1-CRE-002</t>
  </si>
  <si>
    <t>10/03/2026 11:20:04</t>
  </si>
  <si>
    <t>TKThe :00354194341, tai Tienphongbank. Dung The Anh chuyen tien QR                                                                                                                            -CTLNHIDI000014640343834-1/1-CRE-002</t>
  </si>
  <si>
    <t>10/03/2026 11:32:23</t>
  </si>
  <si>
    <t>1221700374 NGUYEN DINH DAT Chuyen tien hoc lai tin hoc</t>
  </si>
  <si>
    <t>10/03/2026 12:59:25</t>
  </si>
  <si>
    <t>TKThe :0834668118, tai MSCBVNVX. Le Tuan Hung lop CD47CNTT1 dong  HP K2 Nam 2025  2026-020097042203101259242026LHC9474835</t>
  </si>
  <si>
    <t>10/03/2026 13:47:23</t>
  </si>
  <si>
    <t>TKThe :19075129341018, tai Techcombank. NGUYEN THI THAO k48 ktdn FT26069080004311                                                                                                             -CTLNHIDI000014641761528-1/1-CRE-002</t>
  </si>
  <si>
    <t>10/03/2026 14:36:55</t>
  </si>
  <si>
    <t>TKThe :103811565555, tai ICBVVNVX. QR - 2610167 nguyen dinh an khanh 28-7-2011-020097041503101436552026FxHc530448</t>
  </si>
  <si>
    <t>10/03/2026 14:46:27</t>
  </si>
  <si>
    <t>TKThe :3848899999, tai Techcombank. 2610169 Nguyen Trung Kien 08 06 2011 FT26069505774513                                                                                                     -CTLNHIDI000014642303357-1/1-CRE-002</t>
  </si>
  <si>
    <t>10/03/2026 14:59:22</t>
  </si>
  <si>
    <t>TKThe :1040532192, tai BFTVVNVX. MBVCB.13308820784.726826.TRAN ANH TUAN thi lai.CT tu 1040532192 TRAN ANH TUAN toi 1221700374 TRUONG CD NGHE CN HA NOI tai BIDV                                                                                                                                                         -B2B020097043603101459222026DBag726826</t>
  </si>
  <si>
    <t>10/03/2026 15:11:31</t>
  </si>
  <si>
    <t>TKThe :00606061996666, tai MSCBVNVX. NGUYEN THANH TUNG chuyen tien-020097042203101511312026LIX8162729</t>
  </si>
  <si>
    <t>10/03/2026 15:14:52</t>
  </si>
  <si>
    <t>TKThe :104878012931, tai ICBVVNVX. @VA_V31318216796D162704_HD3024000VND_Le Van Toan CD49NA1_QR - 256Q260014 LeVanToanO@L_1548326825_260310_-020097041503101514522026xAXw664597</t>
  </si>
  <si>
    <t>10/03/2026 15:28:58</t>
  </si>
  <si>
    <t>1221700374 256Q120041 Tran Van Tan</t>
  </si>
  <si>
    <t>10/03/2026 21:16:06</t>
  </si>
  <si>
    <t>TKThe :0942208224, tai VPBank. NGUYEN VU HAI DANG CD47CNTT2 dong hoc phi ki 2 nam 2025-2026                                                                                                   -CTLNHIDI000014646914684-1/1-CRE-002</t>
  </si>
  <si>
    <t>11/03/2026 06:22:08</t>
  </si>
  <si>
    <t>TKThe :0944084495, tai MSCBVNVX. @VA_V313179031129518EB4_HD9250000VND_Luu Quang Dat CD47CNC_CD47652019715 LuuQuangDatO@L_1551249980_260311_-020097042203110622072026X3ZH848345</t>
  </si>
  <si>
    <t>11/03/2026 09:28:40</t>
  </si>
  <si>
    <t>TKThe :290699999999, tai Techcombank. Vu minh khanh 09092011 2610173 FT26070161837700                                                                                                         -CTLNHIDI000014649874001-1/1-CRE-002</t>
  </si>
  <si>
    <t>11/03/2026 11:00:13</t>
  </si>
  <si>
    <t>TKThe :19032768888019, tai Techcombank. 2610128Vu Gia Hung 12.07.2011 FT26070852701123                                                                                                        -CTLNHIDI000014650958163-1/1-CRE-002</t>
  </si>
  <si>
    <t>11/03/2026 11:08:13</t>
  </si>
  <si>
    <t>TKThe :19073799645015, tai Techcombank. PHAM THE DUYET hoc lai cong nghe che tao may FT26070186798856                                                                                         -CTLNHIDI000014651040804-1/1-CRE-002</t>
  </si>
  <si>
    <t>11/03/2026 11:09:01</t>
  </si>
  <si>
    <t>1221700374 nguyen khac duy 191020112610186</t>
  </si>
  <si>
    <t>11/03/2026 11:18:49</t>
  </si>
  <si>
    <t>TKThe :2030181868888, tai MSCBVNVX. Nguyen Kim Ngan 15102011-020097042203111118482026Q2C3739510</t>
  </si>
  <si>
    <t>11/03/2026 13:25:54</t>
  </si>
  <si>
    <t>TKThe :102878481664, tai ICBVVNVX. QR - nguyen tan nghia 21112011 2610190-020097041503111325542026gMP0378684</t>
  </si>
  <si>
    <t>11/03/2026 13:32:52</t>
  </si>
  <si>
    <t>TKThe :9353059982, tai BFTVVNVX. MBVCB.13322882037.882387.CD486210402038 Pham Xuan Hoang.CT tu 9353059982 PHAM XUAN HOANG toi 12210001700374 TRUONG CD NGHE CN HA NOI tai BIDV                                                                                                                                          -B2B020097043603111332522026DBid882387</t>
  </si>
  <si>
    <t>11/03/2026 14:46:22</t>
  </si>
  <si>
    <t>TKThe :2280120038386, tai MSCBVNVX. pham bao chung hoc lai sua chua van hanh may dien-020097042203111446222026A5QC343543</t>
  </si>
  <si>
    <t>11/03/2026 14:59:24</t>
  </si>
  <si>
    <t>TKThe :0451000385136, tai BFTVVNVX. MBVCB.13323854463.492703.NGHIEM ANH THA -I 30/08/2011 - 2610192.CT tu 0451000385136 NGHIEM QUANG MINH toi 1221700374 TRUONG CD NGHE CN HA NOI tai BIDV                                                                                                                              -B2B020097043603111459302026DBej492703</t>
  </si>
  <si>
    <t>11/03/2026 15:23:18</t>
  </si>
  <si>
    <t>TKThe :100881548014, tai ICBVVNVX. QR - NGUYEN DUC HIEU Ck nguyen duc phu 2610196-020097041503111523182026Tz59713458</t>
  </si>
  <si>
    <t>11/03/2026 15:24:26</t>
  </si>
  <si>
    <t>TKThe :100881548014, tai ICBVVNVX. QR - NGUYEN DUC HIEU Ck Nguyen Minh Duy 2610191-020097041503111524262026PiSi717571</t>
  </si>
  <si>
    <t>11/03/2026 15:51:41</t>
  </si>
  <si>
    <t>TKThe :0862122561, tai MSCBVNVX. DINH VAN THANH lop cd47ck nop tien hoc lai mon thuc tap tien cnc-020097042203111551402026C09G917725</t>
  </si>
  <si>
    <t>11/03/2026 15:52:48</t>
  </si>
  <si>
    <t>TKThe :0862122561, tai MSCBVNVX. Le Minh Hai lop cd47ck nop tien hoc lai mon thuc tap tien cnc-0200970422031115524720268JIA499749</t>
  </si>
  <si>
    <t>11/03/2026 16:00:29</t>
  </si>
  <si>
    <t>TKThe :66802102005, tai MSCBVNVX. NGUYEN VAN TIEN hoc lai sua chua he thong phanh va sua chua dien o to-020097042203111600282026A311776029</t>
  </si>
  <si>
    <t>11/03/2026 16:20:22</t>
  </si>
  <si>
    <t>TKThe :2990199069999, tai MSCBVNVX. Le tran cong vinh   07 01  2010 2610201-0200970422031116202120268251577265</t>
  </si>
  <si>
    <t>11/03/2026 16:21:52</t>
  </si>
  <si>
    <t>TKThe :8970031082006, tai MSCBVNVX. TRAN ANH TUAN chuyen tien-020097042203111621512026TSUX921880</t>
  </si>
  <si>
    <t>11/03/2026 16:33:48</t>
  </si>
  <si>
    <t>REM Tfr Ac:1770260769 O@L_080005_211601_0_0_1554066194_120975521280 0867403095 NGUYEN XUAN PHONG CD45CDT ki thuat gia cong co khi</t>
  </si>
  <si>
    <t>11/03/2026 16:34:48</t>
  </si>
  <si>
    <t>REM Tfr Ac:1770260769 O@L_080005_211601_0_0_1554071474_120975660262 0867403095 NGUYEN XUAN PHONG CD45CDT hoc lai truyen dong dien</t>
  </si>
  <si>
    <t>11/03/2026 20:58:21</t>
  </si>
  <si>
    <t>TKThe :0586447560, tai MSCBVNVX. @VA_V313111C07C3C77FC34_HD9280000VND_Tran Van Toi CD48CNC1_CD486510216478 TranVanToiO@L_1555547905_260311_-020097042203112058202026VOIV741275</t>
  </si>
  <si>
    <t>12/03/2026 08:18:10</t>
  </si>
  <si>
    <t>REM 9901CI260312000008344 B/O BAO HIEM XA HOI CO SO DONG DA F/O-1221700374 TRUONG CAO DANG NGHE CONG NGHIEP HA NOI DTLS-REF/202603121010011000215701203006 HOAN DONG TRUNG BHYT HSSV THEO QD 266 NGAY 6/3/2026. UNC 00188 Bank Charge .00 VAT .00</t>
  </si>
  <si>
    <t>12/03/2026 08:39:46</t>
  </si>
  <si>
    <t>TKThe :0346694214, tai MSCBVNVX. LUU TIEN DAT chuyen tien hoc lai chuyen dong dien-020097042203120839452026W1PK781510</t>
  </si>
  <si>
    <t>12/03/2026 08:41:23</t>
  </si>
  <si>
    <t>TKThe :102872271229, tai ICBVVNVX. QR - TRUONG DUC NAM chuyen tien hoc lai dien tu chuyen nghanh-020097041503120841232026ea7x969527</t>
  </si>
  <si>
    <t>12/03/2026 08:57:59</t>
  </si>
  <si>
    <t>1221700374 lop K48 6Q1207, hk2. Ds 10sv</t>
  </si>
  <si>
    <t>12/03/2026 09:03:21</t>
  </si>
  <si>
    <t>TKThe :1057551563, tai BFTVVNVX. MBVCB.13332988401.548726.NGUYEN VAN TIEN - tran minh hieu dong tien hoc lai mon sua chua van hanh may dien .CT tu 1057551563 NGUYEN VAN TIEN toi 1221700374 TRUONG CD NGHE CN HA NOI tai BIDV-020097043603120903212026DBeo548726</t>
  </si>
  <si>
    <t>12/03/2026 09:06:25</t>
  </si>
  <si>
    <t>TKThe :0947032382, tai MSCBVNVX. LE TIEN ANH HOC KI THUAT CAM BIEN-020097042203120906242026VRNM415804</t>
  </si>
  <si>
    <t>12/03/2026 09:23:55</t>
  </si>
  <si>
    <t>TKThe :1058148624, tai BFTVVNVX. MBVCB.13333222401.708365.LE TIEN ANH dong hoc ki thuat lap dat dien.CT tu 1058148624 LE TIEN ANH toi 1221700374 TRUONG CD NGHE CN HA NOI tai BIDV-020097043603120924022026DBqn708365</t>
  </si>
  <si>
    <t>12/03/2026 09:52:36</t>
  </si>
  <si>
    <t>TKThe :03101011113505, tai MSB. CD47 oto CLC                                                                                                                                                  -CTLNHIDI000014662954161-1/1-CRE-002</t>
  </si>
  <si>
    <t>12/03/2026 09:53:11</t>
  </si>
  <si>
    <t>TKThe :03101011113505, tai MSB. Duong Nguyen Hung chuyen tien                                                                                                                                 -CTLNHIDI000014662960083-1/1-CRE-002</t>
  </si>
  <si>
    <t>12/03/2026 09:54:36</t>
  </si>
  <si>
    <t>TKThe :0000744858633, tai MSCBVNVX. LE QUANG HUY hoc lai mon bdsc dong co xang-020097042203120954342026N09M373632</t>
  </si>
  <si>
    <t>12/03/2026 10:05:49</t>
  </si>
  <si>
    <t>TKThe :198824868, tai VPBank. NGUYEN VAN THU chuyen tien nguyen quoc khanh 20 -11-2011 2610206 nganh dien                                                                                     -CTLNHIDI000014663090159-1/1-CRE-002</t>
  </si>
  <si>
    <t>12/03/2026 10:15:32</t>
  </si>
  <si>
    <t>1221700374 Ngo Duc Tu 18.01.2008</t>
  </si>
  <si>
    <t>12/03/2026 11:14:47</t>
  </si>
  <si>
    <t>REF122A2630JD31ZRVJ B/O 1221700374 TRUONG CD NGHE CN HA NOI F/O 0451005666888 BAO HIEM XA HOI CO SO DONG DA NHH01203001 TRUONG CAO DANG NGHE CONG NGHIEP HA NOI THANH TOAN TIEN MUA BHYT CHO SV KHOA 48 CHO MA DON VI AL0011F</t>
  </si>
  <si>
    <t>12/03/2026 11:32:10</t>
  </si>
  <si>
    <t>TKThe :99368686868999, tai MSCBVNVX. NguyenThienBinh171120112610210-0200970422031211320920268VO3968927</t>
  </si>
  <si>
    <t>12/03/2026 12:56:48</t>
  </si>
  <si>
    <t>TKThe :28281220055555, tai Techcombank. PHAM PHUC HUNG K48-6Q0102 HK2 FT26071146921205                                                                                                        -CTLNHIDI000014664919060-1/1-CRE-002</t>
  </si>
  <si>
    <t>12/03/2026 13:28:56</t>
  </si>
  <si>
    <t>TKThe :19021015184017, tai Techcombank. PHAM THI NGOC BICH chuyen tien FT26071809742974                                                                                                       -CTLNHIDI000014665179416-1/1-CRE-002</t>
  </si>
  <si>
    <t>12/03/2026 14:01:44</t>
  </si>
  <si>
    <t>TKThe :101872716439, tai ICBVVNVX. QR - 2610010  Nguyen Thi Thu Ha 11-01-1981-020097041503121401442026HR5Y158978</t>
  </si>
  <si>
    <t>12/03/2026 14:10:21</t>
  </si>
  <si>
    <t>TKThe :0369062871, tai MSCBVNVX. NGUYEN KHANH GIANG  NGUYEN DUONG MINH chuyen tien hoc lai mon Tin-020097042203121410212026A96K255436</t>
  </si>
  <si>
    <t>12/03/2026 14:11:07</t>
  </si>
  <si>
    <t>1221700374 NGUYEN DINH THANH Chuyen tien  nguyen dinh dat dong tien hoc lai.</t>
  </si>
  <si>
    <t>09/03/2026 16:47:48</t>
  </si>
  <si>
    <t>TKThe :14021140071668, tai Techcombank. Nguyen Phuc Huy lop 48VH3 nop tien hoc lai mon phap luat FT26068226867470                                                                             -CTLNHIDI000014633800800-1/1-CRE-002</t>
  </si>
  <si>
    <t>09/03/2026 16:48:03</t>
  </si>
  <si>
    <t>TKThe :0389090131, tai MSCBVNVX. TRAN LAM ANH lop K485Q0701 mon phap luat-0200970422030916480320261SAO272493</t>
  </si>
  <si>
    <t>09/03/2026 20:10:13</t>
  </si>
  <si>
    <t>TKThe :19030737950015, tai Techcombank. Bui Gia Huy 01-12-2011 ma ho so 2610148 dong le ph FT26068848932048                                                                                   -CTLNHIDI000014635926921-1/1-CRE-002</t>
  </si>
  <si>
    <t>09/03/2026 21:56:05</t>
  </si>
  <si>
    <t>TKThe :0985869401, tai MSCBVNVX. DO THANH LONG K49 6Q1201-020097042203092156042026EHLL375748</t>
  </si>
  <si>
    <t>10/03/2026 08:11:23</t>
  </si>
  <si>
    <t>REM Tfr Ac:1222272168 O@L_H0I001_212501_0_0_1546089624_V313135F2971E9DBED4_Tran The Duong CD49CLCOTO1_@VA2500120124 TranTheDuong_Tran The Duong CD49CLCOTO1_HD:35F2971E9DBED4</t>
  </si>
  <si>
    <t>10/03/2026 08:36:12</t>
  </si>
  <si>
    <t>1221700374 Nguyen Thi Nghiem chuyen khoan nhanh qua Zalo</t>
  </si>
  <si>
    <t>10/03/2026 08:46:14</t>
  </si>
  <si>
    <t>TKThe :103004451478, tai ICBVVNVX. QR - QUACH THI HONG HOA chuyen tien 2610029 Nghe Nau An so cap len trung cap-020097041503100846142026dgVk282538</t>
  </si>
  <si>
    <t>10/03/2026 08:49:25</t>
  </si>
  <si>
    <t>TKThe :2711200563, tai MSCBVNVX. NGUYEN CONG DANG chuyen tien-0200970422031008492420260ODP285919</t>
  </si>
  <si>
    <t>10/03/2026 09:15:55</t>
  </si>
  <si>
    <t>TKThe :03801019922889, tai MSB. Tuan hung, manh cuong tuan anh hoc lai phap luat. K485Q0701                                                                                                   -CTLNHIDI000014638892898-1/1-CRE-002</t>
  </si>
  <si>
    <t>Nấu ăn liên thông</t>
  </si>
  <si>
    <t>BHYT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</si>
</sst>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3" x14ac:knownFonts="1">
    <font>
      <sz val="11"/>
      <color theme="1"/>
      <name val="Calibri"/>
      <family val="2"/>
      <scheme val="minor"/>
    </font>
    <font>
      <sz val="11"/>
      <color theme="1"/>
      <name val="Calibri"/>
      <family val="2"/>
      <scheme val="minor"/>
    </font>
    <font>
      <b/>
      <sz val="13"/>
      <name val="Times New Roman"/>
      <family val="1"/>
    </font>
    <font>
      <sz val="13"/>
      <name val="Times New Roman"/>
      <family val="1"/>
    </font>
    <font>
      <sz val="11"/>
      <color theme="1"/>
      <name val="Times New Roman"/>
      <family val="1"/>
    </font>
    <font>
      <b/>
      <sz val="22"/>
      <name val="Times New Roman"/>
      <family val="1"/>
    </font>
    <font>
      <i/>
      <u/>
      <sz val="11"/>
      <name val="Times New Roman"/>
      <family val="1"/>
    </font>
    <font>
      <sz val="10"/>
      <name val="Times New Roman"/>
      <family val="1"/>
    </font>
    <font>
      <sz val="11"/>
      <name val="Times New Roman"/>
      <family val="1"/>
    </font>
    <font>
      <b/>
      <sz val="13"/>
      <color theme="1"/>
      <name val="Times New Roman"/>
      <family val="1"/>
    </font>
    <font>
      <b/>
      <sz val="11"/>
      <color theme="1"/>
      <name val="Times New Roman"/>
      <family val="1"/>
    </font>
    <font>
      <sz val="8"/>
      <name val="Calibri"/>
      <family val="2"/>
      <scheme val="minor"/>
    </font>
    <font>
      <sz val="11"/>
      <name val="Times New Roman"/>
    </font>
  </fonts>
  <fills count="4">
    <fill>
      <patternFill patternType="none"/>
    </fill>
    <fill>
      <patternFill patternType="gray125"/>
    </fill>
    <fill>
      <patternFill patternType="none"/>
    </fill>
    <fill>
      <patternFill patternType="solid">
        <fgColor rgb="FFFFFFFF"/>
        <bgColor rgb="FF000000"/>
      </patternFill>
    </fill>
  </fills>
  <borders count="6">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9">
    <xf numFmtId="0" fontId="0" fillId="0" borderId="0"/>
    <xf numFmtId="43" fontId="1" fillId="0" borderId="0" applyFont="0" applyFill="0" applyBorder="0" applyAlignment="0" applyProtection="0"/>
    <xf numFmtId="0" fontId="1" fillId="2" borderId="1"/>
    <xf numFmtId="43" fontId="1" fillId="2" borderId="1" applyFont="0" applyFill="0" applyBorder="0" applyAlignment="0" applyProtection="0"/>
    <xf numFmtId="0" fontId="1" fillId="2" borderId="1"/>
    <xf numFmtId="0" fontId="1" fillId="2" borderId="1"/>
    <xf numFmtId="0" fontId="1" fillId="2" borderId="1"/>
    <xf numFmtId="0" fontId="1" fillId="2" borderId="1"/>
    <xf numFmtId="0" fontId="1" fillId="2" borderId="1"/>
  </cellStyleXfs>
  <cellXfs count="49">
    <xf numFmtId="0" fontId="0" fillId="0" borderId="0" xfId="0"/>
    <xf numFmtId="164" fontId="2" fillId="0" borderId="2" xfId="1" applyNumberFormat="1" applyFont="1" applyFill="1" applyBorder="1" applyAlignment="1" applyProtection="1">
      <alignment horizontal="center" vertical="center" wrapText="1"/>
    </xf>
    <xf numFmtId="0" fontId="4" fillId="0" borderId="0" xfId="0" applyFont="1"/>
    <xf numFmtId="164" fontId="3" fillId="0" borderId="2" xfId="1" applyNumberFormat="1" applyFont="1" applyFill="1" applyBorder="1" applyAlignment="1" applyProtection="1">
      <alignment horizontal="right" vertical="center" wrapText="1"/>
    </xf>
    <xf numFmtId="0" fontId="4" fillId="0" borderId="0" xfId="0" applyFont="1" applyProtection="1">
      <protection locked="0"/>
    </xf>
    <xf numFmtId="0" fontId="4" fillId="0" borderId="0" xfId="0" applyFont="1" applyAlignment="1" applyProtection="1">
      <alignment wrapText="1"/>
      <protection locked="0"/>
    </xf>
    <xf numFmtId="164" fontId="4" fillId="0" borderId="0" xfId="1" applyNumberFormat="1" applyFont="1" applyProtection="1">
      <protection locked="0"/>
    </xf>
    <xf numFmtId="0" fontId="4" fillId="0" borderId="0" xfId="0" applyFont="1" applyAlignment="1" applyProtection="1">
      <alignment horizontal="center"/>
      <protection locked="0"/>
    </xf>
    <xf numFmtId="0" fontId="6" fillId="0" borderId="1" xfId="0" applyFont="1" applyBorder="1"/>
    <xf numFmtId="164" fontId="2" fillId="0" borderId="2" xfId="1" applyNumberFormat="1" applyFont="1" applyBorder="1" applyAlignment="1">
      <alignment horizontal="center" vertical="center" wrapText="1"/>
    </xf>
    <xf numFmtId="164" fontId="2" fillId="0" borderId="2" xfId="1" applyNumberFormat="1" applyFont="1" applyBorder="1" applyAlignment="1">
      <alignment horizontal="right" vertical="center" wrapText="1"/>
    </xf>
    <xf numFmtId="0" fontId="4" fillId="0" borderId="1" xfId="0" applyFont="1" applyBorder="1"/>
    <xf numFmtId="0" fontId="8" fillId="0" borderId="2" xfId="0" applyFont="1" applyBorder="1"/>
    <xf numFmtId="14" fontId="8" fillId="0" borderId="2" xfId="0" applyNumberFormat="1" applyFont="1" applyBorder="1"/>
    <xf numFmtId="0" fontId="3" fillId="0" borderId="2" xfId="0" applyFont="1" applyBorder="1"/>
    <xf numFmtId="3" fontId="3" fillId="3" borderId="2" xfId="0" applyNumberFormat="1" applyFont="1" applyFill="1" applyBorder="1" applyAlignment="1">
      <alignment horizontal="center"/>
    </xf>
    <xf numFmtId="0" fontId="6" fillId="0" borderId="2" xfId="0" applyFont="1" applyBorder="1"/>
    <xf numFmtId="0" fontId="2" fillId="0" borderId="4" xfId="0" applyFont="1" applyBorder="1" applyAlignment="1">
      <alignment vertical="center" wrapText="1"/>
    </xf>
    <xf numFmtId="3" fontId="3" fillId="3" borderId="4" xfId="0" applyNumberFormat="1" applyFont="1" applyFill="1" applyBorder="1"/>
    <xf numFmtId="0" fontId="10" fillId="0" borderId="2" xfId="0" applyFont="1" applyBorder="1" applyAlignment="1" applyProtection="1">
      <alignment vertical="center"/>
      <protection locked="0"/>
    </xf>
    <xf numFmtId="164" fontId="3" fillId="0" borderId="2" xfId="1" applyNumberFormat="1" applyFont="1" applyBorder="1" applyAlignment="1">
      <alignment wrapText="1"/>
    </xf>
    <xf numFmtId="164" fontId="3" fillId="0" borderId="2" xfId="1" applyNumberFormat="1" applyFont="1" applyBorder="1"/>
    <xf numFmtId="164" fontId="2" fillId="0" borderId="2" xfId="1" applyNumberFormat="1" applyFont="1" applyBorder="1" applyAlignment="1">
      <alignment vertical="center" wrapText="1"/>
    </xf>
    <xf numFmtId="164" fontId="9" fillId="0" borderId="2" xfId="1" applyNumberFormat="1" applyFont="1" applyBorder="1" applyAlignment="1">
      <alignment horizontal="center" vertical="center" wrapText="1"/>
    </xf>
    <xf numFmtId="164" fontId="4" fillId="0" borderId="2" xfId="1" applyNumberFormat="1" applyFont="1" applyBorder="1" applyAlignment="1">
      <alignment horizontal="center"/>
    </xf>
    <xf numFmtId="164" fontId="10" fillId="0" borderId="2" xfId="1" applyNumberFormat="1" applyFont="1" applyBorder="1" applyAlignment="1">
      <alignment horizontal="center"/>
    </xf>
    <xf numFmtId="164" fontId="3" fillId="3" borderId="2" xfId="1" applyNumberFormat="1" applyFont="1" applyFill="1" applyBorder="1"/>
    <xf numFmtId="164" fontId="8" fillId="0" borderId="2" xfId="1" applyNumberFormat="1" applyFont="1" applyBorder="1"/>
    <xf numFmtId="164" fontId="4" fillId="0" borderId="0" xfId="1" applyNumberFormat="1" applyFont="1" applyAlignment="1" applyProtection="1">
      <alignment wrapText="1"/>
      <protection locked="0"/>
    </xf>
    <xf numFmtId="0" fontId="7" fillId="0" borderId="3" xfId="0" applyFont="1" applyBorder="1" applyAlignment="1">
      <alignment horizontal="left" vertical="center" wrapText="1"/>
    </xf>
    <xf numFmtId="164" fontId="7" fillId="0" borderId="3" xfId="1" applyNumberFormat="1" applyFont="1" applyBorder="1" applyAlignment="1">
      <alignment horizontal="right" vertical="center" wrapText="1"/>
    </xf>
    <xf numFmtId="164" fontId="7" fillId="2" borderId="3" xfId="1" applyNumberFormat="1" applyFont="1" applyFill="1" applyBorder="1" applyAlignment="1" applyProtection="1">
      <alignment horizontal="right" vertical="center" wrapText="1"/>
    </xf>
    <xf numFmtId="0" fontId="4" fillId="0" borderId="0" xfId="0" applyFont="1" applyAlignment="1">
      <alignment wrapText="1"/>
    </xf>
    <xf numFmtId="0" fontId="6" fillId="0" borderId="1" xfId="0" applyFont="1" applyBorder="1" applyAlignment="1">
      <alignment wrapText="1"/>
    </xf>
    <xf numFmtId="0" fontId="8" fillId="0" borderId="2" xfId="0" applyFont="1" applyBorder="1" applyAlignment="1">
      <alignment horizontal="left" wrapText="1"/>
    </xf>
    <xf numFmtId="3" fontId="8" fillId="0" borderId="2" xfId="0" applyNumberFormat="1" applyFont="1" applyBorder="1" applyAlignment="1">
      <alignment horizontal="right" wrapText="1"/>
    </xf>
    <xf numFmtId="164" fontId="2" fillId="0" borderId="2" xfId="1" applyNumberFormat="1" applyFont="1" applyBorder="1" applyAlignment="1">
      <alignment horizontal="center" vertical="center" wrapText="1"/>
    </xf>
    <xf numFmtId="164" fontId="2" fillId="0" borderId="2" xfId="1" applyNumberFormat="1" applyFont="1" applyBorder="1" applyAlignment="1">
      <alignment horizontal="center" vertical="center"/>
    </xf>
    <xf numFmtId="164" fontId="2" fillId="0" borderId="3" xfId="1" applyNumberFormat="1" applyFont="1" applyBorder="1" applyAlignment="1">
      <alignment horizontal="center" vertical="center" wrapText="1"/>
    </xf>
    <xf numFmtId="164" fontId="2" fillId="0" borderId="5" xfId="1" applyNumberFormat="1"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xf>
    <xf numFmtId="164" fontId="3" fillId="0" borderId="2" xfId="1" applyNumberFormat="1" applyFont="1" applyFill="1" applyBorder="1" applyAlignment="1" applyProtection="1">
      <alignment horizontal="right" vertical="center" wrapText="1"/>
    </xf>
    <xf numFmtId="164" fontId="3" fillId="0" borderId="2" xfId="1" applyNumberFormat="1" applyFont="1" applyBorder="1" applyAlignment="1">
      <alignment wrapText="1"/>
    </xf>
    <xf numFmtId="0" fontId="5" fillId="0" borderId="2" xfId="0" applyFont="1" applyBorder="1" applyAlignment="1">
      <alignment horizontal="center" vertical="center" wrapText="1"/>
    </xf>
    <xf numFmtId="14" fontId="2" fillId="0" borderId="2" xfId="0" applyNumberFormat="1" applyFont="1" applyBorder="1" applyAlignment="1">
      <alignment horizontal="center" vertical="center" wrapText="1"/>
    </xf>
    <xf numFmtId="0" fontId="2" fillId="0" borderId="4" xfId="0" applyFont="1" applyBorder="1" applyAlignment="1">
      <alignment horizontal="center" vertical="center"/>
    </xf>
    <xf numFmtId="0" fontId="12" fillId="0" borderId="2" xfId="0" applyFont="1" applyBorder="1" applyAlignment="1">
      <alignment horizontal="left" wrapText="1"/>
    </xf>
    <xf numFmtId="3" fontId="12" fillId="0" borderId="2" xfId="0" applyNumberFormat="1" applyFont="1" applyBorder="1" applyAlignment="1">
      <alignment horizontal="right" wrapText="1"/>
    </xf>
  </cellXfs>
  <cellStyles count="9">
    <cellStyle name="Comma" xfId="1" builtinId="3"/>
    <cellStyle name="Comma 2" xfId="3" xr:uid="{00000000-0005-0000-0000-000001000000}"/>
    <cellStyle name="Normal" xfId="0" builtinId="0"/>
    <cellStyle name="Normal 2" xfId="2" xr:uid="{00000000-0005-0000-0000-000003000000}"/>
    <cellStyle name="Normal 3" xfId="4" xr:uid="{00000000-0005-0000-0000-000004000000}"/>
    <cellStyle name="Normal 4" xfId="5" xr:uid="{00000000-0005-0000-0000-000005000000}"/>
    <cellStyle name="Normal 5" xfId="6" xr:uid="{00000000-0005-0000-0000-000006000000}"/>
    <cellStyle name="Normal 6" xfId="7" xr:uid="{00000000-0005-0000-0000-000007000000}"/>
    <cellStyle name="Normal 7" xfId="8" xr:uid="{00000000-0005-0000-0000-00000800000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BV2170"/>
  <sheetViews>
    <sheetView tabSelected="1" zoomScale="85" zoomScaleNormal="85" workbookViewId="0">
      <pane ySplit="6" topLeftCell="A175" activePane="bottomLeft" state="frozen"/>
      <selection activeCell="J1" sqref="J1"/>
      <selection pane="bottomLeft" activeCell="K185" sqref="K185"/>
    </sheetView>
  </sheetViews>
  <sheetFormatPr defaultColWidth="0" defaultRowHeight="30" customHeight="1" zeroHeight="1" x14ac:dyDescent="0.25"/>
  <cols>
    <col min="1" max="1" width="11.7109375" style="5" customWidth="1"/>
    <col min="2" max="2" width="15" style="5" customWidth="1"/>
    <col min="3" max="3" width="22.28515625" style="28" bestFit="1" customWidth="1"/>
    <col min="4" max="4" width="22" style="28" bestFit="1" customWidth="1"/>
    <col min="5" max="5" width="23.5703125" style="28" customWidth="1"/>
    <col min="6" max="6" width="72.140625" style="5" customWidth="1"/>
    <col min="7" max="7" width="21.5703125" style="4" hidden="1" customWidth="1"/>
    <col min="8" max="8" width="27.42578125" style="4" hidden="1" customWidth="1"/>
    <col min="9" max="9" width="32.28515625" style="4" hidden="1" customWidth="1"/>
    <col min="10" max="10" width="40" style="4" hidden="1" customWidth="1"/>
    <col min="11" max="11" width="52.42578125" style="4" bestFit="1" customWidth="1"/>
    <col min="12" max="12" width="21.42578125" style="6" customWidth="1"/>
    <col min="13" max="13" width="14.140625" style="7" customWidth="1"/>
    <col min="14" max="14" width="17.28515625" style="6" bestFit="1" customWidth="1"/>
    <col min="15" max="15" width="17.28515625" style="6" customWidth="1"/>
    <col min="16" max="16" width="19.85546875" style="6" customWidth="1"/>
    <col min="17" max="17" width="20.85546875" style="4" bestFit="1" customWidth="1"/>
    <col min="18" max="18" width="13.140625" style="6" customWidth="1"/>
    <col min="19" max="19" width="20" style="6" customWidth="1"/>
    <col min="20" max="20" width="14.42578125" style="6" bestFit="1" customWidth="1"/>
    <col min="21" max="22" width="15.7109375" style="6" bestFit="1" customWidth="1"/>
    <col min="23" max="23" width="17.140625" style="6" bestFit="1" customWidth="1"/>
    <col min="24" max="24" width="23.85546875" style="6" bestFit="1" customWidth="1"/>
    <col min="25" max="25" width="16.28515625" style="6" bestFit="1" customWidth="1"/>
    <col min="26" max="26" width="11.28515625" style="6" bestFit="1" customWidth="1"/>
    <col min="27" max="27" width="14.140625" style="6" bestFit="1" customWidth="1"/>
    <col min="28" max="28" width="12.5703125" style="6" bestFit="1" customWidth="1"/>
    <col min="29" max="29" width="21.7109375" style="6" bestFit="1" customWidth="1"/>
    <col min="30" max="30" width="14.140625" style="6" bestFit="1" customWidth="1"/>
    <col min="31" max="31" width="19.42578125" style="6" customWidth="1"/>
    <col min="32" max="32" width="14.5703125" style="6" bestFit="1" customWidth="1"/>
    <col min="33" max="33" width="14.42578125" style="6" bestFit="1" customWidth="1"/>
    <col min="34" max="34" width="30.42578125" style="28" customWidth="1"/>
    <col min="35" max="35" width="22.5703125" style="28" customWidth="1"/>
    <col min="36" max="36" width="11.42578125" style="6" bestFit="1" customWidth="1"/>
    <col min="37" max="37" width="35.7109375" style="6" customWidth="1"/>
    <col min="38" max="38" width="20.85546875" style="6" bestFit="1" customWidth="1"/>
    <col min="39" max="39" width="14.28515625" style="6" customWidth="1"/>
    <col min="40" max="40" width="15.42578125" style="6" customWidth="1"/>
    <col min="41" max="43" width="24.140625" style="6" customWidth="1"/>
    <col min="44" max="44" width="10" style="6" customWidth="1"/>
    <col min="45" max="45" width="9.140625" style="6" customWidth="1"/>
    <col min="46" max="46" width="12.85546875" style="4" bestFit="1" customWidth="1"/>
    <col min="47" max="74" width="0" style="4" hidden="1" customWidth="1"/>
    <col min="75" max="16384" width="5.7109375" style="4" hidden="1"/>
  </cols>
  <sheetData>
    <row r="1" spans="1:47" s="2" customFormat="1" ht="19.5" customHeight="1" x14ac:dyDescent="0.25">
      <c r="A1" s="32"/>
      <c r="B1" s="40" t="s">
        <v>0</v>
      </c>
      <c r="C1" s="1" t="s">
        <v>14</v>
      </c>
      <c r="D1" s="1" t="s">
        <v>1</v>
      </c>
      <c r="E1" s="9" t="s">
        <v>15</v>
      </c>
      <c r="F1" s="44" t="s">
        <v>25</v>
      </c>
      <c r="G1" s="40" t="s">
        <v>19</v>
      </c>
      <c r="H1" s="40" t="s">
        <v>18</v>
      </c>
      <c r="I1" s="45" t="s">
        <v>17</v>
      </c>
      <c r="J1" s="40" t="s">
        <v>3</v>
      </c>
      <c r="K1" s="40" t="s">
        <v>20</v>
      </c>
      <c r="L1" s="36" t="s">
        <v>21</v>
      </c>
      <c r="M1" s="40" t="s">
        <v>16</v>
      </c>
      <c r="N1" s="37"/>
      <c r="O1" s="37"/>
      <c r="P1" s="37"/>
      <c r="Q1" s="17"/>
      <c r="R1" s="22"/>
      <c r="S1" s="36" t="s">
        <v>30</v>
      </c>
      <c r="T1" s="36"/>
      <c r="U1" s="36"/>
      <c r="V1" s="36"/>
      <c r="W1" s="36"/>
      <c r="X1" s="36"/>
      <c r="Y1" s="36"/>
      <c r="Z1" s="36"/>
      <c r="AA1" s="36"/>
      <c r="AB1" s="36"/>
      <c r="AC1" s="36"/>
      <c r="AD1" s="36"/>
      <c r="AE1" s="36"/>
      <c r="AF1" s="36"/>
      <c r="AG1" s="36"/>
      <c r="AH1" s="36"/>
      <c r="AI1" s="9"/>
      <c r="AJ1" s="36" t="s">
        <v>39</v>
      </c>
      <c r="AK1" s="36" t="s">
        <v>23</v>
      </c>
      <c r="AL1" s="36" t="s">
        <v>24</v>
      </c>
      <c r="AM1" s="36" t="s">
        <v>65</v>
      </c>
      <c r="AN1" s="36" t="s">
        <v>44</v>
      </c>
      <c r="AO1" s="36"/>
      <c r="AP1" s="36"/>
      <c r="AQ1" s="9"/>
      <c r="AR1" s="36" t="s">
        <v>4</v>
      </c>
      <c r="AS1" s="36" t="s">
        <v>4</v>
      </c>
      <c r="AT1" s="41" t="s">
        <v>5</v>
      </c>
      <c r="AU1" s="11"/>
    </row>
    <row r="2" spans="1:47" s="2" customFormat="1" ht="20.100000000000001" customHeight="1" x14ac:dyDescent="0.25">
      <c r="A2" s="32"/>
      <c r="B2" s="40"/>
      <c r="C2" s="3"/>
      <c r="D2" s="3"/>
      <c r="E2" s="10"/>
      <c r="F2" s="44"/>
      <c r="G2" s="40"/>
      <c r="H2" s="40"/>
      <c r="I2" s="45"/>
      <c r="J2" s="40"/>
      <c r="K2" s="40"/>
      <c r="L2" s="36"/>
      <c r="M2" s="40"/>
      <c r="N2" s="37"/>
      <c r="O2" s="37"/>
      <c r="P2" s="37"/>
      <c r="Q2" s="17"/>
      <c r="R2" s="22"/>
      <c r="S2" s="36"/>
      <c r="T2" s="36"/>
      <c r="U2" s="36"/>
      <c r="V2" s="36"/>
      <c r="W2" s="36"/>
      <c r="X2" s="36"/>
      <c r="Y2" s="36"/>
      <c r="Z2" s="36"/>
      <c r="AA2" s="36"/>
      <c r="AB2" s="36"/>
      <c r="AC2" s="36"/>
      <c r="AD2" s="36"/>
      <c r="AE2" s="36"/>
      <c r="AF2" s="36"/>
      <c r="AG2" s="36"/>
      <c r="AH2" s="36"/>
      <c r="AI2" s="9"/>
      <c r="AJ2" s="36"/>
      <c r="AK2" s="36"/>
      <c r="AL2" s="36"/>
      <c r="AM2" s="36"/>
      <c r="AN2" s="36"/>
      <c r="AO2" s="36"/>
      <c r="AP2" s="36"/>
      <c r="AQ2" s="9"/>
      <c r="AR2" s="36"/>
      <c r="AS2" s="36"/>
      <c r="AT2" s="41"/>
      <c r="AU2" s="11"/>
    </row>
    <row r="3" spans="1:47" s="2" customFormat="1" ht="19.5" customHeight="1" x14ac:dyDescent="0.25">
      <c r="A3" s="32"/>
      <c r="B3" s="40"/>
      <c r="C3" s="3"/>
      <c r="D3" s="3"/>
      <c r="E3" s="10"/>
      <c r="F3" s="44"/>
      <c r="G3" s="40"/>
      <c r="H3" s="40"/>
      <c r="I3" s="45"/>
      <c r="J3" s="40"/>
      <c r="K3" s="40"/>
      <c r="L3" s="36"/>
      <c r="M3" s="40"/>
      <c r="N3" s="37"/>
      <c r="O3" s="37"/>
      <c r="P3" s="37"/>
      <c r="Q3" s="17"/>
      <c r="R3" s="22"/>
      <c r="S3" s="36"/>
      <c r="T3" s="36"/>
      <c r="U3" s="36"/>
      <c r="V3" s="36"/>
      <c r="W3" s="36"/>
      <c r="X3" s="36"/>
      <c r="Y3" s="36"/>
      <c r="Z3" s="36"/>
      <c r="AA3" s="36"/>
      <c r="AB3" s="36"/>
      <c r="AC3" s="36"/>
      <c r="AD3" s="36"/>
      <c r="AE3" s="36"/>
      <c r="AF3" s="36"/>
      <c r="AG3" s="36"/>
      <c r="AH3" s="36"/>
      <c r="AI3" s="9"/>
      <c r="AJ3" s="36"/>
      <c r="AK3" s="36"/>
      <c r="AL3" s="36"/>
      <c r="AM3" s="36"/>
      <c r="AN3" s="36"/>
      <c r="AO3" s="36"/>
      <c r="AP3" s="36"/>
      <c r="AQ3" s="9"/>
      <c r="AR3" s="36"/>
      <c r="AS3" s="36"/>
      <c r="AT3" s="41"/>
      <c r="AU3" s="11"/>
    </row>
    <row r="4" spans="1:47" s="2" customFormat="1" ht="19.5" customHeight="1" x14ac:dyDescent="0.25">
      <c r="A4" s="32"/>
      <c r="B4" s="40" t="s">
        <v>2</v>
      </c>
      <c r="C4" s="3"/>
      <c r="D4" s="3"/>
      <c r="E4" s="10"/>
      <c r="F4" s="44"/>
      <c r="G4" s="40"/>
      <c r="H4" s="40"/>
      <c r="I4" s="45"/>
      <c r="J4" s="40"/>
      <c r="K4" s="40"/>
      <c r="L4" s="36"/>
      <c r="M4" s="40"/>
      <c r="N4" s="37"/>
      <c r="O4" s="37"/>
      <c r="P4" s="37"/>
      <c r="Q4" s="17"/>
      <c r="R4" s="22"/>
      <c r="S4" s="36"/>
      <c r="T4" s="36"/>
      <c r="U4" s="36"/>
      <c r="V4" s="36"/>
      <c r="W4" s="36"/>
      <c r="X4" s="36"/>
      <c r="Y4" s="36"/>
      <c r="Z4" s="36"/>
      <c r="AA4" s="36"/>
      <c r="AB4" s="36"/>
      <c r="AC4" s="36"/>
      <c r="AD4" s="36"/>
      <c r="AE4" s="36"/>
      <c r="AF4" s="36"/>
      <c r="AG4" s="36"/>
      <c r="AH4" s="36"/>
      <c r="AI4" s="9"/>
      <c r="AJ4" s="36"/>
      <c r="AK4" s="36"/>
      <c r="AL4" s="36"/>
      <c r="AM4" s="36"/>
      <c r="AN4" s="36"/>
      <c r="AO4" s="36"/>
      <c r="AP4" s="36"/>
      <c r="AQ4" s="9"/>
      <c r="AR4" s="36"/>
      <c r="AS4" s="36"/>
      <c r="AT4" s="41"/>
      <c r="AU4" s="11"/>
    </row>
    <row r="5" spans="1:47" s="2" customFormat="1" ht="33" customHeight="1" x14ac:dyDescent="0.25">
      <c r="A5" s="32"/>
      <c r="B5" s="40"/>
      <c r="C5" s="42"/>
      <c r="D5" s="42"/>
      <c r="E5" s="43"/>
      <c r="F5" s="44"/>
      <c r="G5" s="40"/>
      <c r="H5" s="40"/>
      <c r="I5" s="45"/>
      <c r="J5" s="40"/>
      <c r="K5" s="40"/>
      <c r="L5" s="36"/>
      <c r="M5" s="40"/>
      <c r="N5" s="9" t="s">
        <v>6</v>
      </c>
      <c r="O5" s="38" t="s">
        <v>66</v>
      </c>
      <c r="P5" s="36" t="s">
        <v>28</v>
      </c>
      <c r="Q5" s="46" t="s">
        <v>8</v>
      </c>
      <c r="R5" s="36" t="s">
        <v>22</v>
      </c>
      <c r="S5" s="22" t="s">
        <v>9</v>
      </c>
      <c r="T5" s="22" t="s">
        <v>43</v>
      </c>
      <c r="U5" s="9" t="s">
        <v>34</v>
      </c>
      <c r="V5" s="9" t="s">
        <v>35</v>
      </c>
      <c r="W5" s="9" t="s">
        <v>36</v>
      </c>
      <c r="X5" s="9" t="s">
        <v>37</v>
      </c>
      <c r="Y5" s="22" t="s">
        <v>10</v>
      </c>
      <c r="Z5" s="22" t="s">
        <v>11</v>
      </c>
      <c r="AA5" s="22" t="s">
        <v>12</v>
      </c>
      <c r="AB5" s="9" t="s">
        <v>38</v>
      </c>
      <c r="AC5" s="9" t="s">
        <v>33</v>
      </c>
      <c r="AD5" s="22" t="s">
        <v>13</v>
      </c>
      <c r="AE5" s="22" t="s">
        <v>40</v>
      </c>
      <c r="AF5" s="22" t="s">
        <v>41</v>
      </c>
      <c r="AG5" s="22" t="s">
        <v>42</v>
      </c>
      <c r="AH5" s="23" t="s">
        <v>45</v>
      </c>
      <c r="AI5" s="23" t="s">
        <v>46</v>
      </c>
      <c r="AJ5" s="22" t="s">
        <v>29</v>
      </c>
      <c r="AK5" s="36"/>
      <c r="AL5" s="36"/>
      <c r="AM5" s="36"/>
      <c r="AN5" s="36"/>
      <c r="AO5" s="9" t="s">
        <v>27</v>
      </c>
      <c r="AP5" s="9" t="s">
        <v>26</v>
      </c>
      <c r="AQ5" s="9" t="s">
        <v>47</v>
      </c>
      <c r="AR5" s="36"/>
      <c r="AS5" s="36"/>
      <c r="AT5" s="41"/>
      <c r="AU5" s="11"/>
    </row>
    <row r="6" spans="1:47" s="2" customFormat="1" ht="36" customHeight="1" x14ac:dyDescent="0.25">
      <c r="A6" s="32"/>
      <c r="B6" s="40"/>
      <c r="C6" s="42"/>
      <c r="D6" s="42"/>
      <c r="E6" s="43"/>
      <c r="F6" s="44"/>
      <c r="G6" s="40"/>
      <c r="H6" s="40"/>
      <c r="I6" s="45"/>
      <c r="J6" s="40"/>
      <c r="K6" s="40"/>
      <c r="L6" s="36"/>
      <c r="M6" s="40"/>
      <c r="N6" s="9" t="s">
        <v>7</v>
      </c>
      <c r="O6" s="39"/>
      <c r="P6" s="36"/>
      <c r="Q6" s="46"/>
      <c r="R6" s="36"/>
      <c r="S6" s="22" t="s">
        <v>31</v>
      </c>
      <c r="T6" s="22" t="s">
        <v>32</v>
      </c>
      <c r="U6" s="9" t="s">
        <v>51</v>
      </c>
      <c r="V6" s="9" t="s">
        <v>52</v>
      </c>
      <c r="W6" s="9" t="s">
        <v>53</v>
      </c>
      <c r="X6" s="9" t="s">
        <v>54</v>
      </c>
      <c r="Y6" s="9" t="s">
        <v>55</v>
      </c>
      <c r="Z6" s="9" t="s">
        <v>56</v>
      </c>
      <c r="AA6" s="9" t="s">
        <v>57</v>
      </c>
      <c r="AB6" s="9" t="s">
        <v>58</v>
      </c>
      <c r="AC6" s="9" t="s">
        <v>59</v>
      </c>
      <c r="AD6" s="9" t="s">
        <v>60</v>
      </c>
      <c r="AE6" s="9" t="s">
        <v>61</v>
      </c>
      <c r="AF6" s="9" t="s">
        <v>62</v>
      </c>
      <c r="AG6" s="9" t="s">
        <v>63</v>
      </c>
      <c r="AH6" s="23" t="s">
        <v>50</v>
      </c>
      <c r="AI6" s="23" t="s">
        <v>49</v>
      </c>
      <c r="AJ6" s="22"/>
      <c r="AK6" s="36"/>
      <c r="AL6" s="36"/>
      <c r="AM6" s="36"/>
      <c r="AN6" s="36"/>
      <c r="AO6" s="24"/>
      <c r="AP6" s="24"/>
      <c r="AQ6" s="25" t="s">
        <v>48</v>
      </c>
      <c r="AR6" s="36"/>
      <c r="AS6" s="36"/>
      <c r="AT6" s="41"/>
      <c r="AU6" s="11"/>
    </row>
    <row r="7" spans="1:47" s="8" customFormat="1" ht="30" customHeight="1" x14ac:dyDescent="0.25">
      <c r="A7" s="33"/>
      <c r="B7" s="29"/>
      <c r="C7" s="30"/>
      <c r="D7" s="31"/>
      <c r="E7" s="30"/>
      <c r="F7" s="29"/>
      <c r="G7" s="12"/>
      <c r="H7" s="12"/>
      <c r="I7" s="13"/>
      <c r="J7" s="12"/>
      <c r="K7" s="14"/>
      <c r="L7" s="26"/>
      <c r="M7" s="15" t="str">
        <f>IF(Q7=L7, "Đúng", "Sai")</f>
        <v>Đúng</v>
      </c>
      <c r="N7" s="21"/>
      <c r="O7" s="21"/>
      <c r="P7" s="21"/>
      <c r="Q7" s="18">
        <f>SUM(R7:AQ7)+N7+O7+P7</f>
        <v>0</v>
      </c>
      <c r="R7" s="21" t="str">
        <f t="shared" ref="R7" si="0">IF(ISNUMBER(SEARCH("LPXT",$K7)),$L7,"")</f>
        <v/>
      </c>
      <c r="S7" s="21"/>
      <c r="T7" s="21"/>
      <c r="U7" s="21" t="str">
        <f t="shared" ref="U7" si="1">IF(ISNUMBER(SEARCH("BHYT",$K7)),$L7,"")</f>
        <v/>
      </c>
      <c r="V7" s="21"/>
      <c r="W7" s="21"/>
      <c r="X7" s="21"/>
      <c r="Y7" s="21"/>
      <c r="Z7" s="21"/>
      <c r="AA7" s="21"/>
      <c r="AB7" s="21"/>
      <c r="AC7" s="21"/>
      <c r="AD7" s="21"/>
      <c r="AE7" s="21"/>
      <c r="AF7" s="21"/>
      <c r="AG7" s="21"/>
      <c r="AH7" s="21" t="str">
        <f>IF(OR(ISNUMBER(SEARCH("Chuyển nhầm",$K7)),ISNUMBER(SEARCH("NH trả về",$K7))),$L7,"")</f>
        <v/>
      </c>
      <c r="AI7" s="20"/>
      <c r="AJ7" s="21" t="str">
        <f>IF(ISNUMBER(SEARCH("Đặt Cọc",$K7)),$L7,"")</f>
        <v/>
      </c>
      <c r="AK7" s="26"/>
      <c r="AL7" s="21" t="str">
        <f>IF(OR(ISNUMBER(SEARCH("NVSP",$K7)),ISNUMBER(SEARCH("Ngắn hạn",$K7))),$L7,"")</f>
        <v/>
      </c>
      <c r="AM7" s="21" t="str">
        <f>IF(ISNUMBER(SEARCH("Doanh Nghiệp TT",$K7)),$L7,"")</f>
        <v/>
      </c>
      <c r="AN7" s="21" t="str">
        <f>IF(ISNUMBER(SEARCH("Học lại",$K7)),$L7,"")</f>
        <v/>
      </c>
      <c r="AO7" s="21" t="str">
        <f>IF(ISNUMBER(SEARCH("Lãi tiền gửi",$K7)),$L7,"")</f>
        <v/>
      </c>
      <c r="AP7" s="21" t="str">
        <f>IF(ISNUMBER(SEARCH("Lãi HĐ",$K7)),$L7,"")</f>
        <v/>
      </c>
      <c r="AQ7" s="21" t="str">
        <f>IF(ISNUMBER(SEARCH("Cô Thương",$K7)),$L7,"")</f>
        <v/>
      </c>
      <c r="AR7" s="21"/>
      <c r="AS7" s="27"/>
      <c r="AT7" s="16"/>
    </row>
    <row r="8" spans="1:47" ht="30" customHeight="1" x14ac:dyDescent="0.25">
      <c r="B8" s="34" t="s">
        <v>70</v>
      </c>
      <c r="C8" s="35">
        <v>0</v>
      </c>
      <c r="D8" s="35">
        <v>7200000</v>
      </c>
      <c r="E8" s="35">
        <v>2296723200</v>
      </c>
      <c r="F8" s="34" t="s">
        <v>71</v>
      </c>
      <c r="K8" s="4" t="s">
        <v>67</v>
      </c>
      <c r="L8" s="26">
        <f t="shared" ref="L8:L16" si="2">D8</f>
        <v>7200000</v>
      </c>
      <c r="M8" s="15" t="str">
        <f t="shared" ref="M8:M16" si="3">IF(Q8=L8, "Đúng", "Sai")</f>
        <v>Đúng</v>
      </c>
      <c r="N8" s="21">
        <f t="shared" ref="N8:N43" si="4">IF(ISNUMBER(SEARCH("K49",$K8)),$L8,"")</f>
        <v>7200000</v>
      </c>
      <c r="O8" s="21" t="str">
        <f t="shared" ref="O8:O43" si="5">IF(ISNUMBER(SEARCH("LDLK",$K8)),$L8,"")</f>
        <v/>
      </c>
      <c r="P8" s="21"/>
      <c r="Q8" s="18">
        <f t="shared" ref="Q8:Q16" si="6">SUM(R8:AQ8)+SUM(N8:P8)</f>
        <v>7200000</v>
      </c>
      <c r="R8" s="21" t="str">
        <f t="shared" ref="R8:R43" si="7">IF(ISNUMBER(SEARCH("LPXT",$K8)),$L8,"")</f>
        <v/>
      </c>
      <c r="S8" s="21"/>
      <c r="T8" s="21"/>
      <c r="U8" s="21" t="str">
        <f t="shared" ref="U8:U43" si="8">IF(ISNUMBER(SEARCH("BHYT",$K8)),$L8,"")</f>
        <v/>
      </c>
      <c r="V8" s="21"/>
      <c r="W8" s="21"/>
      <c r="X8" s="21"/>
      <c r="Y8" s="21"/>
      <c r="Z8" s="21"/>
      <c r="AA8" s="21"/>
      <c r="AB8" s="21"/>
      <c r="AC8" s="21"/>
      <c r="AD8" s="21"/>
      <c r="AE8" s="21"/>
      <c r="AF8" s="21"/>
      <c r="AG8" s="21"/>
      <c r="AH8" s="21" t="str">
        <f t="shared" ref="AH8:AH43" si="9">IF(OR(ISNUMBER(SEARCH("Chuyển nhầm",$K8)),ISNUMBER(SEARCH("NH trả về",$K8))),$L8,"")</f>
        <v/>
      </c>
      <c r="AI8" s="20"/>
      <c r="AJ8" s="21" t="str">
        <f t="shared" ref="AJ8:AJ43" si="10">IF(ISNUMBER(SEARCH("Đặt Cọc",$K8)),$L8,"")</f>
        <v/>
      </c>
      <c r="AK8" s="26"/>
      <c r="AL8" s="21" t="str">
        <f t="shared" ref="AL8:AL43" si="11">IF(OR(ISNUMBER(SEARCH("NVSP",$K8)),ISNUMBER(SEARCH("Ngắn hạn",$K8))),$L8,"")</f>
        <v/>
      </c>
      <c r="AM8" s="21" t="str">
        <f t="shared" ref="AM8:AM43" si="12">IF(ISNUMBER(SEARCH("Doanh Nghiệp TT",$K8)),$L8,"")</f>
        <v/>
      </c>
      <c r="AN8" s="21" t="str">
        <f t="shared" ref="AN8:AN43" si="13">IF(ISNUMBER(SEARCH("Học lại",$K8)),$L8,"")</f>
        <v/>
      </c>
      <c r="AO8" s="21" t="str">
        <f t="shared" ref="AO8:AO43" si="14">IF(ISNUMBER(SEARCH("Lãi tiền gửi",$K8)),$L8,"")</f>
        <v/>
      </c>
      <c r="AP8" s="21" t="str">
        <f t="shared" ref="AP8:AP43" si="15">IF(ISNUMBER(SEARCH("Lãi HĐ",$K8)),$L8,"")</f>
        <v/>
      </c>
      <c r="AQ8" s="21" t="str">
        <f t="shared" ref="AQ8:AQ43" si="16">IF(ISNUMBER(SEARCH("Cô Thương",$K8)),$L8,"")</f>
        <v/>
      </c>
      <c r="AR8" s="21"/>
      <c r="AS8" s="27"/>
      <c r="AT8" s="19"/>
    </row>
    <row r="9" spans="1:47" ht="30" customHeight="1" x14ac:dyDescent="0.25">
      <c r="B9" s="34" t="s">
        <v>72</v>
      </c>
      <c r="C9" s="35">
        <v>0</v>
      </c>
      <c r="D9" s="35">
        <v>3024000</v>
      </c>
      <c r="E9" s="35">
        <v>2299747200</v>
      </c>
      <c r="F9" s="34" t="s">
        <v>73</v>
      </c>
      <c r="K9" s="4" t="s">
        <v>67</v>
      </c>
      <c r="L9" s="26">
        <f t="shared" si="2"/>
        <v>3024000</v>
      </c>
      <c r="M9" s="15" t="str">
        <f t="shared" si="3"/>
        <v>Đúng</v>
      </c>
      <c r="N9" s="21">
        <f t="shared" si="4"/>
        <v>3024000</v>
      </c>
      <c r="O9" s="21" t="str">
        <f t="shared" si="5"/>
        <v/>
      </c>
      <c r="P9" s="21"/>
      <c r="Q9" s="18">
        <f t="shared" si="6"/>
        <v>3024000</v>
      </c>
      <c r="R9" s="21" t="str">
        <f t="shared" si="7"/>
        <v/>
      </c>
      <c r="S9" s="21"/>
      <c r="T9" s="21"/>
      <c r="U9" s="21" t="str">
        <f t="shared" si="8"/>
        <v/>
      </c>
      <c r="V9" s="21"/>
      <c r="W9" s="21"/>
      <c r="X9" s="21"/>
      <c r="Y9" s="21"/>
      <c r="Z9" s="21"/>
      <c r="AA9" s="21"/>
      <c r="AB9" s="21"/>
      <c r="AC9" s="21"/>
      <c r="AD9" s="21"/>
      <c r="AE9" s="21"/>
      <c r="AF9" s="21"/>
      <c r="AG9" s="21"/>
      <c r="AH9" s="21" t="str">
        <f t="shared" si="9"/>
        <v/>
      </c>
      <c r="AI9" s="20"/>
      <c r="AJ9" s="21" t="str">
        <f t="shared" si="10"/>
        <v/>
      </c>
      <c r="AK9" s="26"/>
      <c r="AL9" s="21" t="str">
        <f t="shared" si="11"/>
        <v/>
      </c>
      <c r="AM9" s="21" t="str">
        <f t="shared" si="12"/>
        <v/>
      </c>
      <c r="AN9" s="21" t="str">
        <f t="shared" si="13"/>
        <v/>
      </c>
      <c r="AO9" s="21" t="str">
        <f t="shared" si="14"/>
        <v/>
      </c>
      <c r="AP9" s="21" t="str">
        <f t="shared" si="15"/>
        <v/>
      </c>
      <c r="AQ9" s="21" t="str">
        <f t="shared" si="16"/>
        <v/>
      </c>
      <c r="AR9" s="21"/>
      <c r="AS9" s="27"/>
      <c r="AT9" s="19"/>
    </row>
    <row r="10" spans="1:47" ht="30" customHeight="1" x14ac:dyDescent="0.25">
      <c r="B10" s="34" t="s">
        <v>74</v>
      </c>
      <c r="C10" s="35">
        <v>0</v>
      </c>
      <c r="D10" s="35">
        <v>3024000</v>
      </c>
      <c r="E10" s="35">
        <v>2302771200</v>
      </c>
      <c r="F10" s="34" t="s">
        <v>75</v>
      </c>
      <c r="K10" s="4" t="s">
        <v>67</v>
      </c>
      <c r="L10" s="26">
        <f t="shared" si="2"/>
        <v>3024000</v>
      </c>
      <c r="M10" s="15" t="str">
        <f t="shared" si="3"/>
        <v>Đúng</v>
      </c>
      <c r="N10" s="21">
        <f t="shared" si="4"/>
        <v>3024000</v>
      </c>
      <c r="O10" s="21" t="str">
        <f t="shared" si="5"/>
        <v/>
      </c>
      <c r="P10" s="21"/>
      <c r="Q10" s="18">
        <f t="shared" si="6"/>
        <v>3024000</v>
      </c>
      <c r="R10" s="21" t="str">
        <f t="shared" si="7"/>
        <v/>
      </c>
      <c r="S10" s="21"/>
      <c r="T10" s="21"/>
      <c r="U10" s="21" t="str">
        <f t="shared" si="8"/>
        <v/>
      </c>
      <c r="V10" s="21"/>
      <c r="W10" s="21"/>
      <c r="X10" s="21"/>
      <c r="Y10" s="21"/>
      <c r="Z10" s="21"/>
      <c r="AA10" s="21"/>
      <c r="AB10" s="21"/>
      <c r="AC10" s="21"/>
      <c r="AD10" s="21"/>
      <c r="AE10" s="21"/>
      <c r="AF10" s="21"/>
      <c r="AG10" s="21"/>
      <c r="AH10" s="21" t="str">
        <f t="shared" si="9"/>
        <v/>
      </c>
      <c r="AI10" s="20"/>
      <c r="AJ10" s="21" t="str">
        <f t="shared" si="10"/>
        <v/>
      </c>
      <c r="AK10" s="26"/>
      <c r="AL10" s="21" t="str">
        <f t="shared" si="11"/>
        <v/>
      </c>
      <c r="AM10" s="21" t="str">
        <f t="shared" si="12"/>
        <v/>
      </c>
      <c r="AN10" s="21" t="str">
        <f t="shared" si="13"/>
        <v/>
      </c>
      <c r="AO10" s="21" t="str">
        <f t="shared" si="14"/>
        <v/>
      </c>
      <c r="AP10" s="21" t="str">
        <f t="shared" si="15"/>
        <v/>
      </c>
      <c r="AQ10" s="21" t="str">
        <f t="shared" si="16"/>
        <v/>
      </c>
      <c r="AR10" s="21"/>
      <c r="AS10" s="27"/>
      <c r="AT10" s="19"/>
    </row>
    <row r="11" spans="1:47" ht="30" customHeight="1" x14ac:dyDescent="0.25">
      <c r="B11" s="34" t="s">
        <v>76</v>
      </c>
      <c r="C11" s="35">
        <v>0</v>
      </c>
      <c r="D11" s="35">
        <v>3024000</v>
      </c>
      <c r="E11" s="35">
        <v>2305795200</v>
      </c>
      <c r="F11" s="34" t="s">
        <v>77</v>
      </c>
      <c r="K11" s="4" t="s">
        <v>67</v>
      </c>
      <c r="L11" s="26">
        <f t="shared" si="2"/>
        <v>3024000</v>
      </c>
      <c r="M11" s="15" t="str">
        <f t="shared" si="3"/>
        <v>Đúng</v>
      </c>
      <c r="N11" s="21">
        <f t="shared" si="4"/>
        <v>3024000</v>
      </c>
      <c r="O11" s="21" t="str">
        <f t="shared" si="5"/>
        <v/>
      </c>
      <c r="P11" s="21"/>
      <c r="Q11" s="18">
        <f t="shared" si="6"/>
        <v>3024000</v>
      </c>
      <c r="R11" s="21" t="str">
        <f t="shared" si="7"/>
        <v/>
      </c>
      <c r="S11" s="21"/>
      <c r="T11" s="21"/>
      <c r="U11" s="21" t="str">
        <f t="shared" si="8"/>
        <v/>
      </c>
      <c r="V11" s="21"/>
      <c r="W11" s="21"/>
      <c r="X11" s="21"/>
      <c r="Y11" s="21"/>
      <c r="Z11" s="21"/>
      <c r="AA11" s="21"/>
      <c r="AB11" s="21"/>
      <c r="AC11" s="21"/>
      <c r="AD11" s="21"/>
      <c r="AE11" s="21"/>
      <c r="AF11" s="21"/>
      <c r="AG11" s="21"/>
      <c r="AH11" s="21" t="str">
        <f t="shared" si="9"/>
        <v/>
      </c>
      <c r="AI11" s="20"/>
      <c r="AJ11" s="21" t="str">
        <f t="shared" si="10"/>
        <v/>
      </c>
      <c r="AK11" s="26"/>
      <c r="AL11" s="21" t="str">
        <f t="shared" si="11"/>
        <v/>
      </c>
      <c r="AM11" s="21" t="str">
        <f t="shared" si="12"/>
        <v/>
      </c>
      <c r="AN11" s="21" t="str">
        <f t="shared" si="13"/>
        <v/>
      </c>
      <c r="AO11" s="21" t="str">
        <f t="shared" si="14"/>
        <v/>
      </c>
      <c r="AP11" s="21" t="str">
        <f t="shared" si="15"/>
        <v/>
      </c>
      <c r="AQ11" s="21" t="str">
        <f t="shared" si="16"/>
        <v/>
      </c>
      <c r="AR11" s="21"/>
      <c r="AS11" s="27"/>
      <c r="AT11" s="19"/>
    </row>
    <row r="12" spans="1:47" ht="30" customHeight="1" x14ac:dyDescent="0.25">
      <c r="B12" s="34" t="s">
        <v>78</v>
      </c>
      <c r="C12" s="35">
        <v>0</v>
      </c>
      <c r="D12" s="35">
        <v>9280000</v>
      </c>
      <c r="E12" s="35">
        <v>2315075200</v>
      </c>
      <c r="F12" s="34" t="s">
        <v>79</v>
      </c>
      <c r="K12" s="4" t="s">
        <v>67</v>
      </c>
      <c r="L12" s="26">
        <f t="shared" si="2"/>
        <v>9280000</v>
      </c>
      <c r="M12" s="15" t="str">
        <f t="shared" si="3"/>
        <v>Đúng</v>
      </c>
      <c r="N12" s="21">
        <f t="shared" si="4"/>
        <v>9280000</v>
      </c>
      <c r="O12" s="21" t="str">
        <f t="shared" si="5"/>
        <v/>
      </c>
      <c r="P12" s="21"/>
      <c r="Q12" s="18">
        <f t="shared" si="6"/>
        <v>9280000</v>
      </c>
      <c r="R12" s="21" t="str">
        <f t="shared" si="7"/>
        <v/>
      </c>
      <c r="S12" s="21"/>
      <c r="T12" s="21"/>
      <c r="U12" s="21" t="str">
        <f t="shared" si="8"/>
        <v/>
      </c>
      <c r="V12" s="21"/>
      <c r="W12" s="21"/>
      <c r="X12" s="21"/>
      <c r="Y12" s="21"/>
      <c r="Z12" s="21"/>
      <c r="AA12" s="21"/>
      <c r="AB12" s="21"/>
      <c r="AC12" s="21"/>
      <c r="AD12" s="21"/>
      <c r="AE12" s="21"/>
      <c r="AF12" s="21"/>
      <c r="AG12" s="21"/>
      <c r="AH12" s="21" t="str">
        <f t="shared" si="9"/>
        <v/>
      </c>
      <c r="AI12" s="20"/>
      <c r="AJ12" s="21" t="str">
        <f t="shared" si="10"/>
        <v/>
      </c>
      <c r="AK12" s="26"/>
      <c r="AL12" s="21" t="str">
        <f t="shared" si="11"/>
        <v/>
      </c>
      <c r="AM12" s="21" t="str">
        <f t="shared" si="12"/>
        <v/>
      </c>
      <c r="AN12" s="21" t="str">
        <f t="shared" si="13"/>
        <v/>
      </c>
      <c r="AO12" s="21" t="str">
        <f t="shared" si="14"/>
        <v/>
      </c>
      <c r="AP12" s="21" t="str">
        <f t="shared" si="15"/>
        <v/>
      </c>
      <c r="AQ12" s="21" t="str">
        <f t="shared" si="16"/>
        <v/>
      </c>
      <c r="AR12" s="21"/>
      <c r="AS12" s="27"/>
      <c r="AT12" s="19"/>
    </row>
    <row r="13" spans="1:47" ht="30" customHeight="1" x14ac:dyDescent="0.25">
      <c r="B13" s="34" t="s">
        <v>80</v>
      </c>
      <c r="C13" s="35">
        <v>0</v>
      </c>
      <c r="D13" s="35">
        <v>3024000</v>
      </c>
      <c r="E13" s="35">
        <v>2318099200</v>
      </c>
      <c r="F13" s="34" t="s">
        <v>81</v>
      </c>
      <c r="K13" s="4" t="s">
        <v>67</v>
      </c>
      <c r="L13" s="26">
        <f t="shared" si="2"/>
        <v>3024000</v>
      </c>
      <c r="M13" s="15" t="str">
        <f t="shared" si="3"/>
        <v>Đúng</v>
      </c>
      <c r="N13" s="21">
        <f t="shared" si="4"/>
        <v>3024000</v>
      </c>
      <c r="O13" s="21" t="str">
        <f t="shared" si="5"/>
        <v/>
      </c>
      <c r="P13" s="21"/>
      <c r="Q13" s="18">
        <f t="shared" si="6"/>
        <v>3024000</v>
      </c>
      <c r="R13" s="21" t="str">
        <f t="shared" si="7"/>
        <v/>
      </c>
      <c r="S13" s="21"/>
      <c r="T13" s="21"/>
      <c r="U13" s="21" t="str">
        <f t="shared" si="8"/>
        <v/>
      </c>
      <c r="V13" s="21"/>
      <c r="W13" s="21"/>
      <c r="X13" s="21"/>
      <c r="Y13" s="21"/>
      <c r="Z13" s="21"/>
      <c r="AA13" s="21"/>
      <c r="AB13" s="21"/>
      <c r="AC13" s="21"/>
      <c r="AD13" s="21"/>
      <c r="AE13" s="21"/>
      <c r="AF13" s="21"/>
      <c r="AG13" s="21"/>
      <c r="AH13" s="21" t="str">
        <f t="shared" si="9"/>
        <v/>
      </c>
      <c r="AI13" s="20"/>
      <c r="AJ13" s="21" t="str">
        <f t="shared" si="10"/>
        <v/>
      </c>
      <c r="AK13" s="26"/>
      <c r="AL13" s="21" t="str">
        <f t="shared" si="11"/>
        <v/>
      </c>
      <c r="AM13" s="21" t="str">
        <f t="shared" si="12"/>
        <v/>
      </c>
      <c r="AN13" s="21" t="str">
        <f t="shared" si="13"/>
        <v/>
      </c>
      <c r="AO13" s="21" t="str">
        <f t="shared" si="14"/>
        <v/>
      </c>
      <c r="AP13" s="21" t="str">
        <f t="shared" si="15"/>
        <v/>
      </c>
      <c r="AQ13" s="21" t="str">
        <f t="shared" si="16"/>
        <v/>
      </c>
      <c r="AR13" s="21"/>
      <c r="AS13" s="27"/>
      <c r="AT13" s="19"/>
    </row>
    <row r="14" spans="1:47" ht="30" customHeight="1" x14ac:dyDescent="0.25">
      <c r="B14" s="34" t="s">
        <v>82</v>
      </c>
      <c r="C14" s="35">
        <v>0</v>
      </c>
      <c r="D14" s="35">
        <v>9250000</v>
      </c>
      <c r="E14" s="35">
        <v>2327349200</v>
      </c>
      <c r="F14" s="34" t="s">
        <v>83</v>
      </c>
      <c r="K14" s="4" t="s">
        <v>67</v>
      </c>
      <c r="L14" s="26">
        <f t="shared" si="2"/>
        <v>9250000</v>
      </c>
      <c r="M14" s="15" t="str">
        <f t="shared" si="3"/>
        <v>Đúng</v>
      </c>
      <c r="N14" s="21">
        <f t="shared" si="4"/>
        <v>9250000</v>
      </c>
      <c r="O14" s="21" t="str">
        <f t="shared" si="5"/>
        <v/>
      </c>
      <c r="P14" s="21"/>
      <c r="Q14" s="18">
        <f t="shared" si="6"/>
        <v>9250000</v>
      </c>
      <c r="R14" s="21" t="str">
        <f t="shared" si="7"/>
        <v/>
      </c>
      <c r="S14" s="21"/>
      <c r="T14" s="21"/>
      <c r="U14" s="21" t="str">
        <f t="shared" si="8"/>
        <v/>
      </c>
      <c r="V14" s="21"/>
      <c r="W14" s="21"/>
      <c r="X14" s="21"/>
      <c r="Y14" s="21"/>
      <c r="Z14" s="21"/>
      <c r="AA14" s="21"/>
      <c r="AB14" s="21"/>
      <c r="AC14" s="21"/>
      <c r="AD14" s="21"/>
      <c r="AE14" s="21"/>
      <c r="AF14" s="21"/>
      <c r="AG14" s="21"/>
      <c r="AH14" s="21" t="str">
        <f t="shared" si="9"/>
        <v/>
      </c>
      <c r="AI14" s="20"/>
      <c r="AJ14" s="21" t="str">
        <f t="shared" si="10"/>
        <v/>
      </c>
      <c r="AK14" s="26"/>
      <c r="AL14" s="21" t="str">
        <f t="shared" si="11"/>
        <v/>
      </c>
      <c r="AM14" s="21" t="str">
        <f t="shared" si="12"/>
        <v/>
      </c>
      <c r="AN14" s="21" t="str">
        <f t="shared" si="13"/>
        <v/>
      </c>
      <c r="AO14" s="21" t="str">
        <f t="shared" si="14"/>
        <v/>
      </c>
      <c r="AP14" s="21" t="str">
        <f t="shared" si="15"/>
        <v/>
      </c>
      <c r="AQ14" s="21" t="str">
        <f t="shared" si="16"/>
        <v/>
      </c>
      <c r="AR14" s="21"/>
      <c r="AS14" s="27"/>
      <c r="AT14" s="19"/>
    </row>
    <row r="15" spans="1:47" ht="30" customHeight="1" x14ac:dyDescent="0.25">
      <c r="B15" s="34" t="s">
        <v>84</v>
      </c>
      <c r="C15" s="35">
        <v>0</v>
      </c>
      <c r="D15" s="35">
        <v>3024000</v>
      </c>
      <c r="E15" s="35">
        <v>2330373200</v>
      </c>
      <c r="F15" s="34" t="s">
        <v>85</v>
      </c>
      <c r="K15" s="4" t="s">
        <v>67</v>
      </c>
      <c r="L15" s="26">
        <f t="shared" si="2"/>
        <v>3024000</v>
      </c>
      <c r="M15" s="15" t="str">
        <f t="shared" si="3"/>
        <v>Đúng</v>
      </c>
      <c r="N15" s="21">
        <f t="shared" si="4"/>
        <v>3024000</v>
      </c>
      <c r="O15" s="21" t="str">
        <f t="shared" si="5"/>
        <v/>
      </c>
      <c r="P15" s="21"/>
      <c r="Q15" s="18">
        <f t="shared" si="6"/>
        <v>3024000</v>
      </c>
      <c r="R15" s="21" t="str">
        <f t="shared" si="7"/>
        <v/>
      </c>
      <c r="S15" s="21"/>
      <c r="T15" s="21"/>
      <c r="U15" s="21" t="str">
        <f t="shared" si="8"/>
        <v/>
      </c>
      <c r="V15" s="21"/>
      <c r="W15" s="21"/>
      <c r="X15" s="21"/>
      <c r="Y15" s="21"/>
      <c r="Z15" s="21"/>
      <c r="AA15" s="21"/>
      <c r="AB15" s="21"/>
      <c r="AC15" s="21"/>
      <c r="AD15" s="21"/>
      <c r="AE15" s="21"/>
      <c r="AF15" s="21"/>
      <c r="AG15" s="21"/>
      <c r="AH15" s="21" t="str">
        <f t="shared" si="9"/>
        <v/>
      </c>
      <c r="AI15" s="20"/>
      <c r="AJ15" s="21" t="str">
        <f t="shared" si="10"/>
        <v/>
      </c>
      <c r="AK15" s="26"/>
      <c r="AL15" s="21" t="str">
        <f t="shared" si="11"/>
        <v/>
      </c>
      <c r="AM15" s="21" t="str">
        <f t="shared" si="12"/>
        <v/>
      </c>
      <c r="AN15" s="21" t="str">
        <f t="shared" si="13"/>
        <v/>
      </c>
      <c r="AO15" s="21" t="str">
        <f t="shared" si="14"/>
        <v/>
      </c>
      <c r="AP15" s="21" t="str">
        <f t="shared" si="15"/>
        <v/>
      </c>
      <c r="AQ15" s="21" t="str">
        <f t="shared" si="16"/>
        <v/>
      </c>
      <c r="AR15" s="21"/>
      <c r="AS15" s="27"/>
      <c r="AT15" s="19"/>
    </row>
    <row r="16" spans="1:47" ht="30" customHeight="1" x14ac:dyDescent="0.25">
      <c r="B16" s="34" t="s">
        <v>86</v>
      </c>
      <c r="C16" s="35">
        <v>0</v>
      </c>
      <c r="D16" s="35">
        <v>3024000</v>
      </c>
      <c r="E16" s="35">
        <v>2333397200</v>
      </c>
      <c r="F16" s="34" t="s">
        <v>87</v>
      </c>
      <c r="K16" s="4" t="s">
        <v>67</v>
      </c>
      <c r="L16" s="26">
        <f t="shared" si="2"/>
        <v>3024000</v>
      </c>
      <c r="M16" s="15" t="str">
        <f t="shared" si="3"/>
        <v>Đúng</v>
      </c>
      <c r="N16" s="21">
        <f t="shared" si="4"/>
        <v>3024000</v>
      </c>
      <c r="O16" s="21" t="str">
        <f t="shared" si="5"/>
        <v/>
      </c>
      <c r="P16" s="21"/>
      <c r="Q16" s="18">
        <f t="shared" si="6"/>
        <v>3024000</v>
      </c>
      <c r="R16" s="21" t="str">
        <f t="shared" si="7"/>
        <v/>
      </c>
      <c r="S16" s="21"/>
      <c r="T16" s="21"/>
      <c r="U16" s="21" t="str">
        <f t="shared" si="8"/>
        <v/>
      </c>
      <c r="V16" s="21"/>
      <c r="W16" s="21"/>
      <c r="X16" s="21"/>
      <c r="Y16" s="21"/>
      <c r="Z16" s="21"/>
      <c r="AA16" s="21"/>
      <c r="AB16" s="21"/>
      <c r="AC16" s="21"/>
      <c r="AD16" s="21"/>
      <c r="AE16" s="21"/>
      <c r="AF16" s="21"/>
      <c r="AG16" s="21"/>
      <c r="AH16" s="21" t="str">
        <f t="shared" si="9"/>
        <v/>
      </c>
      <c r="AI16" s="20"/>
      <c r="AJ16" s="21" t="str">
        <f t="shared" si="10"/>
        <v/>
      </c>
      <c r="AK16" s="26"/>
      <c r="AL16" s="21" t="str">
        <f t="shared" si="11"/>
        <v/>
      </c>
      <c r="AM16" s="21" t="str">
        <f t="shared" si="12"/>
        <v/>
      </c>
      <c r="AN16" s="21" t="str">
        <f t="shared" si="13"/>
        <v/>
      </c>
      <c r="AO16" s="21" t="str">
        <f t="shared" si="14"/>
        <v/>
      </c>
      <c r="AP16" s="21" t="str">
        <f t="shared" si="15"/>
        <v/>
      </c>
      <c r="AQ16" s="21" t="str">
        <f t="shared" si="16"/>
        <v/>
      </c>
      <c r="AR16" s="21"/>
      <c r="AS16" s="27"/>
      <c r="AT16" s="19"/>
    </row>
    <row r="17" spans="2:46" ht="30" hidden="1" customHeight="1" x14ac:dyDescent="0.25">
      <c r="B17" s="34" t="s">
        <v>88</v>
      </c>
      <c r="C17" s="35">
        <v>0</v>
      </c>
      <c r="D17" s="35">
        <v>900000</v>
      </c>
      <c r="E17" s="35">
        <v>2334297200</v>
      </c>
      <c r="F17" s="34" t="s">
        <v>89</v>
      </c>
      <c r="K17" s="4" t="s">
        <v>64</v>
      </c>
      <c r="L17" s="26">
        <f t="shared" ref="L17:L35" si="17">D17</f>
        <v>900000</v>
      </c>
      <c r="M17" s="15" t="str">
        <f t="shared" ref="M17:M35" si="18">IF(Q17=L17, "Đúng", "Sai")</f>
        <v>Đúng</v>
      </c>
      <c r="N17" s="21" t="str">
        <f t="shared" si="4"/>
        <v/>
      </c>
      <c r="O17" s="21" t="str">
        <f t="shared" si="5"/>
        <v/>
      </c>
      <c r="P17" s="21"/>
      <c r="Q17" s="18">
        <f t="shared" ref="Q17:Q35" si="19">SUM(R17:AQ17)+SUM(N17:P17)</f>
        <v>900000</v>
      </c>
      <c r="R17" s="21" t="str">
        <f t="shared" si="7"/>
        <v/>
      </c>
      <c r="S17" s="21"/>
      <c r="T17" s="21"/>
      <c r="U17" s="21" t="str">
        <f t="shared" si="8"/>
        <v/>
      </c>
      <c r="V17" s="21"/>
      <c r="W17" s="21"/>
      <c r="X17" s="21"/>
      <c r="Y17" s="21"/>
      <c r="Z17" s="21"/>
      <c r="AA17" s="21"/>
      <c r="AB17" s="21"/>
      <c r="AC17" s="21"/>
      <c r="AD17" s="21"/>
      <c r="AE17" s="21"/>
      <c r="AF17" s="21"/>
      <c r="AG17" s="21"/>
      <c r="AH17" s="21" t="str">
        <f t="shared" si="9"/>
        <v/>
      </c>
      <c r="AI17" s="20"/>
      <c r="AJ17" s="21" t="str">
        <f t="shared" si="10"/>
        <v/>
      </c>
      <c r="AK17" s="26"/>
      <c r="AL17" s="21" t="str">
        <f t="shared" si="11"/>
        <v/>
      </c>
      <c r="AM17" s="21" t="str">
        <f t="shared" si="12"/>
        <v/>
      </c>
      <c r="AN17" s="21">
        <f t="shared" si="13"/>
        <v>900000</v>
      </c>
      <c r="AO17" s="21" t="str">
        <f t="shared" si="14"/>
        <v/>
      </c>
      <c r="AP17" s="21" t="str">
        <f t="shared" si="15"/>
        <v/>
      </c>
      <c r="AQ17" s="21" t="str">
        <f t="shared" si="16"/>
        <v/>
      </c>
      <c r="AR17" s="21"/>
      <c r="AS17" s="27"/>
      <c r="AT17" s="19"/>
    </row>
    <row r="18" spans="2:46" ht="30" hidden="1" customHeight="1" x14ac:dyDescent="0.25">
      <c r="B18" s="34" t="s">
        <v>90</v>
      </c>
      <c r="C18" s="35">
        <v>0</v>
      </c>
      <c r="D18" s="35">
        <v>900000</v>
      </c>
      <c r="E18" s="35">
        <v>2335197200</v>
      </c>
      <c r="F18" s="34" t="s">
        <v>91</v>
      </c>
      <c r="K18" s="4" t="s">
        <v>64</v>
      </c>
      <c r="L18" s="26">
        <f t="shared" si="17"/>
        <v>900000</v>
      </c>
      <c r="M18" s="15" t="str">
        <f t="shared" si="18"/>
        <v>Đúng</v>
      </c>
      <c r="N18" s="21" t="str">
        <f t="shared" si="4"/>
        <v/>
      </c>
      <c r="O18" s="21" t="str">
        <f t="shared" si="5"/>
        <v/>
      </c>
      <c r="P18" s="21"/>
      <c r="Q18" s="18">
        <f t="shared" si="19"/>
        <v>900000</v>
      </c>
      <c r="R18" s="21" t="str">
        <f t="shared" si="7"/>
        <v/>
      </c>
      <c r="S18" s="21"/>
      <c r="T18" s="21"/>
      <c r="U18" s="21" t="str">
        <f t="shared" si="8"/>
        <v/>
      </c>
      <c r="V18" s="21"/>
      <c r="W18" s="21"/>
      <c r="X18" s="21"/>
      <c r="Y18" s="21"/>
      <c r="Z18" s="21"/>
      <c r="AA18" s="21"/>
      <c r="AB18" s="21"/>
      <c r="AC18" s="21"/>
      <c r="AD18" s="21"/>
      <c r="AE18" s="21"/>
      <c r="AF18" s="21"/>
      <c r="AG18" s="21"/>
      <c r="AH18" s="21" t="str">
        <f t="shared" si="9"/>
        <v/>
      </c>
      <c r="AI18" s="20"/>
      <c r="AJ18" s="21" t="str">
        <f t="shared" si="10"/>
        <v/>
      </c>
      <c r="AK18" s="26"/>
      <c r="AL18" s="21" t="str">
        <f t="shared" si="11"/>
        <v/>
      </c>
      <c r="AM18" s="21" t="str">
        <f t="shared" si="12"/>
        <v/>
      </c>
      <c r="AN18" s="21">
        <f t="shared" si="13"/>
        <v>900000</v>
      </c>
      <c r="AO18" s="21" t="str">
        <f t="shared" si="14"/>
        <v/>
      </c>
      <c r="AP18" s="21" t="str">
        <f t="shared" si="15"/>
        <v/>
      </c>
      <c r="AQ18" s="21" t="str">
        <f t="shared" si="16"/>
        <v/>
      </c>
      <c r="AR18" s="21"/>
      <c r="AS18" s="27"/>
      <c r="AT18" s="19"/>
    </row>
    <row r="19" spans="2:46" ht="30" customHeight="1" x14ac:dyDescent="0.25">
      <c r="B19" s="34" t="s">
        <v>92</v>
      </c>
      <c r="C19" s="35">
        <v>0</v>
      </c>
      <c r="D19" s="35">
        <v>3024000</v>
      </c>
      <c r="E19" s="35">
        <v>2338221200</v>
      </c>
      <c r="F19" s="34" t="s">
        <v>93</v>
      </c>
      <c r="K19" s="4" t="s">
        <v>67</v>
      </c>
      <c r="L19" s="26">
        <f t="shared" si="17"/>
        <v>3024000</v>
      </c>
      <c r="M19" s="15" t="str">
        <f t="shared" si="18"/>
        <v>Đúng</v>
      </c>
      <c r="N19" s="21">
        <f t="shared" si="4"/>
        <v>3024000</v>
      </c>
      <c r="O19" s="21" t="str">
        <f t="shared" si="5"/>
        <v/>
      </c>
      <c r="P19" s="21"/>
      <c r="Q19" s="18">
        <f t="shared" si="19"/>
        <v>3024000</v>
      </c>
      <c r="R19" s="21" t="str">
        <f t="shared" si="7"/>
        <v/>
      </c>
      <c r="S19" s="21"/>
      <c r="T19" s="21"/>
      <c r="U19" s="21" t="str">
        <f t="shared" si="8"/>
        <v/>
      </c>
      <c r="V19" s="21"/>
      <c r="W19" s="21"/>
      <c r="X19" s="21"/>
      <c r="Y19" s="21"/>
      <c r="Z19" s="21"/>
      <c r="AA19" s="21"/>
      <c r="AB19" s="21"/>
      <c r="AC19" s="21"/>
      <c r="AD19" s="21"/>
      <c r="AE19" s="21"/>
      <c r="AF19" s="21"/>
      <c r="AG19" s="21"/>
      <c r="AH19" s="21" t="str">
        <f t="shared" si="9"/>
        <v/>
      </c>
      <c r="AI19" s="20"/>
      <c r="AJ19" s="21" t="str">
        <f t="shared" si="10"/>
        <v/>
      </c>
      <c r="AK19" s="26"/>
      <c r="AL19" s="21" t="str">
        <f t="shared" si="11"/>
        <v/>
      </c>
      <c r="AM19" s="21" t="str">
        <f t="shared" si="12"/>
        <v/>
      </c>
      <c r="AN19" s="21" t="str">
        <f t="shared" si="13"/>
        <v/>
      </c>
      <c r="AO19" s="21" t="str">
        <f t="shared" si="14"/>
        <v/>
      </c>
      <c r="AP19" s="21" t="str">
        <f t="shared" si="15"/>
        <v/>
      </c>
      <c r="AQ19" s="21" t="str">
        <f t="shared" si="16"/>
        <v/>
      </c>
      <c r="AR19" s="21"/>
      <c r="AS19" s="27"/>
      <c r="AT19" s="19"/>
    </row>
    <row r="20" spans="2:46" ht="30" customHeight="1" x14ac:dyDescent="0.25">
      <c r="B20" s="34" t="s">
        <v>94</v>
      </c>
      <c r="C20" s="35">
        <v>0</v>
      </c>
      <c r="D20" s="35">
        <v>24000</v>
      </c>
      <c r="E20" s="35">
        <v>2338245200</v>
      </c>
      <c r="F20" s="34" t="s">
        <v>95</v>
      </c>
      <c r="K20" s="4" t="s">
        <v>67</v>
      </c>
      <c r="L20" s="26">
        <f t="shared" si="17"/>
        <v>24000</v>
      </c>
      <c r="M20" s="15" t="str">
        <f t="shared" si="18"/>
        <v>Đúng</v>
      </c>
      <c r="N20" s="21">
        <f t="shared" si="4"/>
        <v>24000</v>
      </c>
      <c r="O20" s="21" t="str">
        <f t="shared" si="5"/>
        <v/>
      </c>
      <c r="P20" s="21"/>
      <c r="Q20" s="18">
        <f t="shared" si="19"/>
        <v>24000</v>
      </c>
      <c r="R20" s="21" t="str">
        <f t="shared" si="7"/>
        <v/>
      </c>
      <c r="S20" s="21"/>
      <c r="T20" s="21"/>
      <c r="U20" s="21" t="str">
        <f t="shared" si="8"/>
        <v/>
      </c>
      <c r="V20" s="21"/>
      <c r="W20" s="21"/>
      <c r="X20" s="21"/>
      <c r="Y20" s="21"/>
      <c r="Z20" s="21"/>
      <c r="AA20" s="21"/>
      <c r="AB20" s="21"/>
      <c r="AC20" s="21"/>
      <c r="AD20" s="21"/>
      <c r="AE20" s="21"/>
      <c r="AF20" s="21"/>
      <c r="AG20" s="21"/>
      <c r="AH20" s="21" t="str">
        <f t="shared" si="9"/>
        <v/>
      </c>
      <c r="AI20" s="20"/>
      <c r="AJ20" s="21" t="str">
        <f t="shared" si="10"/>
        <v/>
      </c>
      <c r="AK20" s="26"/>
      <c r="AL20" s="21" t="str">
        <f t="shared" si="11"/>
        <v/>
      </c>
      <c r="AM20" s="21" t="str">
        <f t="shared" si="12"/>
        <v/>
      </c>
      <c r="AN20" s="21" t="str">
        <f t="shared" si="13"/>
        <v/>
      </c>
      <c r="AO20" s="21" t="str">
        <f t="shared" si="14"/>
        <v/>
      </c>
      <c r="AP20" s="21" t="str">
        <f t="shared" si="15"/>
        <v/>
      </c>
      <c r="AQ20" s="21" t="str">
        <f t="shared" si="16"/>
        <v/>
      </c>
      <c r="AR20" s="21"/>
      <c r="AS20" s="27"/>
      <c r="AT20" s="19"/>
    </row>
    <row r="21" spans="2:46" ht="30" customHeight="1" x14ac:dyDescent="0.25">
      <c r="B21" s="34" t="s">
        <v>96</v>
      </c>
      <c r="C21" s="35">
        <v>0</v>
      </c>
      <c r="D21" s="35">
        <v>9280000</v>
      </c>
      <c r="E21" s="35">
        <v>2347525200</v>
      </c>
      <c r="F21" s="34" t="s">
        <v>97</v>
      </c>
      <c r="K21" s="4" t="s">
        <v>67</v>
      </c>
      <c r="L21" s="26">
        <f t="shared" si="17"/>
        <v>9280000</v>
      </c>
      <c r="M21" s="15" t="str">
        <f t="shared" si="18"/>
        <v>Đúng</v>
      </c>
      <c r="N21" s="21">
        <f t="shared" si="4"/>
        <v>9280000</v>
      </c>
      <c r="O21" s="21" t="str">
        <f t="shared" si="5"/>
        <v/>
      </c>
      <c r="P21" s="21"/>
      <c r="Q21" s="18">
        <f t="shared" si="19"/>
        <v>9280000</v>
      </c>
      <c r="R21" s="21" t="str">
        <f t="shared" si="7"/>
        <v/>
      </c>
      <c r="S21" s="21"/>
      <c r="T21" s="21"/>
      <c r="U21" s="21" t="str">
        <f t="shared" si="8"/>
        <v/>
      </c>
      <c r="V21" s="21"/>
      <c r="W21" s="21"/>
      <c r="X21" s="21"/>
      <c r="Y21" s="21"/>
      <c r="Z21" s="21"/>
      <c r="AA21" s="21"/>
      <c r="AB21" s="21"/>
      <c r="AC21" s="21"/>
      <c r="AD21" s="21"/>
      <c r="AE21" s="21"/>
      <c r="AF21" s="21"/>
      <c r="AG21" s="21"/>
      <c r="AH21" s="21" t="str">
        <f t="shared" si="9"/>
        <v/>
      </c>
      <c r="AI21" s="20"/>
      <c r="AJ21" s="21" t="str">
        <f t="shared" si="10"/>
        <v/>
      </c>
      <c r="AK21" s="26"/>
      <c r="AL21" s="21" t="str">
        <f t="shared" si="11"/>
        <v/>
      </c>
      <c r="AM21" s="21" t="str">
        <f t="shared" si="12"/>
        <v/>
      </c>
      <c r="AN21" s="21" t="str">
        <f t="shared" si="13"/>
        <v/>
      </c>
      <c r="AO21" s="21" t="str">
        <f t="shared" si="14"/>
        <v/>
      </c>
      <c r="AP21" s="21" t="str">
        <f t="shared" si="15"/>
        <v/>
      </c>
      <c r="AQ21" s="21" t="str">
        <f t="shared" si="16"/>
        <v/>
      </c>
      <c r="AR21" s="21"/>
      <c r="AS21" s="27"/>
      <c r="AT21" s="19"/>
    </row>
    <row r="22" spans="2:46" ht="30" customHeight="1" x14ac:dyDescent="0.25">
      <c r="B22" s="34" t="s">
        <v>98</v>
      </c>
      <c r="C22" s="35">
        <v>0</v>
      </c>
      <c r="D22" s="35">
        <v>567000</v>
      </c>
      <c r="E22" s="35">
        <v>2348092200</v>
      </c>
      <c r="F22" s="34" t="s">
        <v>99</v>
      </c>
      <c r="K22" s="4" t="s">
        <v>67</v>
      </c>
      <c r="L22" s="26">
        <f t="shared" si="17"/>
        <v>567000</v>
      </c>
      <c r="M22" s="15" t="str">
        <f t="shared" si="18"/>
        <v>Đúng</v>
      </c>
      <c r="N22" s="21">
        <f t="shared" si="4"/>
        <v>567000</v>
      </c>
      <c r="O22" s="21" t="str">
        <f t="shared" si="5"/>
        <v/>
      </c>
      <c r="P22" s="21"/>
      <c r="Q22" s="18">
        <f t="shared" si="19"/>
        <v>567000</v>
      </c>
      <c r="R22" s="21" t="str">
        <f t="shared" si="7"/>
        <v/>
      </c>
      <c r="S22" s="21"/>
      <c r="T22" s="21"/>
      <c r="U22" s="21" t="str">
        <f t="shared" si="8"/>
        <v/>
      </c>
      <c r="V22" s="21"/>
      <c r="W22" s="21"/>
      <c r="X22" s="21"/>
      <c r="Y22" s="21"/>
      <c r="Z22" s="21"/>
      <c r="AA22" s="21"/>
      <c r="AB22" s="21"/>
      <c r="AC22" s="21"/>
      <c r="AD22" s="21"/>
      <c r="AE22" s="21"/>
      <c r="AF22" s="21"/>
      <c r="AG22" s="21"/>
      <c r="AH22" s="21" t="str">
        <f t="shared" si="9"/>
        <v/>
      </c>
      <c r="AI22" s="20"/>
      <c r="AJ22" s="21" t="str">
        <f t="shared" si="10"/>
        <v/>
      </c>
      <c r="AK22" s="26"/>
      <c r="AL22" s="21" t="str">
        <f t="shared" si="11"/>
        <v/>
      </c>
      <c r="AM22" s="21" t="str">
        <f t="shared" si="12"/>
        <v/>
      </c>
      <c r="AN22" s="21" t="str">
        <f t="shared" si="13"/>
        <v/>
      </c>
      <c r="AO22" s="21" t="str">
        <f t="shared" si="14"/>
        <v/>
      </c>
      <c r="AP22" s="21" t="str">
        <f t="shared" si="15"/>
        <v/>
      </c>
      <c r="AQ22" s="21" t="str">
        <f t="shared" si="16"/>
        <v/>
      </c>
      <c r="AR22" s="21"/>
      <c r="AS22" s="27"/>
      <c r="AT22" s="19"/>
    </row>
    <row r="23" spans="2:46" ht="30" customHeight="1" x14ac:dyDescent="0.25">
      <c r="B23" s="34" t="s">
        <v>100</v>
      </c>
      <c r="C23" s="35">
        <v>0</v>
      </c>
      <c r="D23" s="35">
        <v>7200000</v>
      </c>
      <c r="E23" s="35">
        <v>2355292200</v>
      </c>
      <c r="F23" s="34" t="s">
        <v>101</v>
      </c>
      <c r="K23" s="4" t="s">
        <v>67</v>
      </c>
      <c r="L23" s="26">
        <f t="shared" si="17"/>
        <v>7200000</v>
      </c>
      <c r="M23" s="15" t="str">
        <f t="shared" si="18"/>
        <v>Đúng</v>
      </c>
      <c r="N23" s="21">
        <f t="shared" si="4"/>
        <v>7200000</v>
      </c>
      <c r="O23" s="21" t="str">
        <f t="shared" si="5"/>
        <v/>
      </c>
      <c r="P23" s="21"/>
      <c r="Q23" s="18">
        <f t="shared" si="19"/>
        <v>7200000</v>
      </c>
      <c r="R23" s="21" t="str">
        <f t="shared" si="7"/>
        <v/>
      </c>
      <c r="S23" s="21"/>
      <c r="T23" s="21"/>
      <c r="U23" s="21" t="str">
        <f t="shared" si="8"/>
        <v/>
      </c>
      <c r="V23" s="21"/>
      <c r="W23" s="21"/>
      <c r="X23" s="21"/>
      <c r="Y23" s="21"/>
      <c r="Z23" s="21"/>
      <c r="AA23" s="21"/>
      <c r="AB23" s="21"/>
      <c r="AC23" s="21"/>
      <c r="AD23" s="21"/>
      <c r="AE23" s="21"/>
      <c r="AF23" s="21"/>
      <c r="AG23" s="21"/>
      <c r="AH23" s="21" t="str">
        <f t="shared" si="9"/>
        <v/>
      </c>
      <c r="AI23" s="20"/>
      <c r="AJ23" s="21" t="str">
        <f t="shared" si="10"/>
        <v/>
      </c>
      <c r="AK23" s="26"/>
      <c r="AL23" s="21" t="str">
        <f t="shared" si="11"/>
        <v/>
      </c>
      <c r="AM23" s="21" t="str">
        <f t="shared" si="12"/>
        <v/>
      </c>
      <c r="AN23" s="21" t="str">
        <f t="shared" si="13"/>
        <v/>
      </c>
      <c r="AO23" s="21" t="str">
        <f t="shared" si="14"/>
        <v/>
      </c>
      <c r="AP23" s="21" t="str">
        <f t="shared" si="15"/>
        <v/>
      </c>
      <c r="AQ23" s="21" t="str">
        <f t="shared" si="16"/>
        <v/>
      </c>
      <c r="AR23" s="21"/>
      <c r="AS23" s="27"/>
      <c r="AT23" s="19"/>
    </row>
    <row r="24" spans="2:46" ht="30" hidden="1" customHeight="1" x14ac:dyDescent="0.25">
      <c r="B24" s="34" t="s">
        <v>102</v>
      </c>
      <c r="C24" s="35">
        <v>0</v>
      </c>
      <c r="D24" s="35">
        <v>200000</v>
      </c>
      <c r="E24" s="35">
        <v>2355492200</v>
      </c>
      <c r="F24" s="34" t="s">
        <v>103</v>
      </c>
      <c r="K24" s="4" t="s">
        <v>68</v>
      </c>
      <c r="L24" s="26">
        <f t="shared" si="17"/>
        <v>200000</v>
      </c>
      <c r="M24" s="15" t="str">
        <f t="shared" si="18"/>
        <v>Đúng</v>
      </c>
      <c r="N24" s="21" t="str">
        <f t="shared" si="4"/>
        <v/>
      </c>
      <c r="O24" s="21" t="str">
        <f t="shared" si="5"/>
        <v/>
      </c>
      <c r="P24" s="21"/>
      <c r="Q24" s="18">
        <f t="shared" si="19"/>
        <v>200000</v>
      </c>
      <c r="R24" s="21">
        <f t="shared" si="7"/>
        <v>200000</v>
      </c>
      <c r="S24" s="21"/>
      <c r="T24" s="21"/>
      <c r="U24" s="21" t="str">
        <f t="shared" si="8"/>
        <v/>
      </c>
      <c r="V24" s="21"/>
      <c r="W24" s="21"/>
      <c r="X24" s="21"/>
      <c r="Y24" s="21"/>
      <c r="Z24" s="21"/>
      <c r="AA24" s="21"/>
      <c r="AB24" s="21"/>
      <c r="AC24" s="21"/>
      <c r="AD24" s="21"/>
      <c r="AE24" s="21"/>
      <c r="AF24" s="21"/>
      <c r="AG24" s="21"/>
      <c r="AH24" s="21" t="str">
        <f t="shared" si="9"/>
        <v/>
      </c>
      <c r="AI24" s="20"/>
      <c r="AJ24" s="21" t="str">
        <f t="shared" si="10"/>
        <v/>
      </c>
      <c r="AK24" s="26"/>
      <c r="AL24" s="21" t="str">
        <f t="shared" si="11"/>
        <v/>
      </c>
      <c r="AM24" s="21" t="str">
        <f t="shared" si="12"/>
        <v/>
      </c>
      <c r="AN24" s="21" t="str">
        <f t="shared" si="13"/>
        <v/>
      </c>
      <c r="AO24" s="21" t="str">
        <f t="shared" si="14"/>
        <v/>
      </c>
      <c r="AP24" s="21" t="str">
        <f t="shared" si="15"/>
        <v/>
      </c>
      <c r="AQ24" s="21" t="str">
        <f t="shared" si="16"/>
        <v/>
      </c>
      <c r="AR24" s="21"/>
      <c r="AS24" s="27"/>
      <c r="AT24" s="19"/>
    </row>
    <row r="25" spans="2:46" ht="30" customHeight="1" x14ac:dyDescent="0.25">
      <c r="B25" s="34" t="s">
        <v>104</v>
      </c>
      <c r="C25" s="35">
        <v>0</v>
      </c>
      <c r="D25" s="35">
        <v>8800000</v>
      </c>
      <c r="E25" s="35">
        <v>2364292200</v>
      </c>
      <c r="F25" s="34" t="s">
        <v>105</v>
      </c>
      <c r="K25" s="4" t="s">
        <v>67</v>
      </c>
      <c r="L25" s="26">
        <f t="shared" si="17"/>
        <v>8800000</v>
      </c>
      <c r="M25" s="15" t="str">
        <f t="shared" si="18"/>
        <v>Đúng</v>
      </c>
      <c r="N25" s="21">
        <f t="shared" si="4"/>
        <v>8800000</v>
      </c>
      <c r="O25" s="21" t="str">
        <f t="shared" si="5"/>
        <v/>
      </c>
      <c r="P25" s="21"/>
      <c r="Q25" s="18">
        <f t="shared" si="19"/>
        <v>8800000</v>
      </c>
      <c r="R25" s="21" t="str">
        <f t="shared" si="7"/>
        <v/>
      </c>
      <c r="S25" s="21"/>
      <c r="T25" s="21"/>
      <c r="U25" s="21" t="str">
        <f t="shared" si="8"/>
        <v/>
      </c>
      <c r="V25" s="21"/>
      <c r="W25" s="21"/>
      <c r="X25" s="21"/>
      <c r="Y25" s="21"/>
      <c r="Z25" s="21"/>
      <c r="AA25" s="21"/>
      <c r="AB25" s="21"/>
      <c r="AC25" s="21"/>
      <c r="AD25" s="21"/>
      <c r="AE25" s="21"/>
      <c r="AF25" s="21"/>
      <c r="AG25" s="21"/>
      <c r="AH25" s="21" t="str">
        <f t="shared" si="9"/>
        <v/>
      </c>
      <c r="AI25" s="20"/>
      <c r="AJ25" s="21" t="str">
        <f t="shared" si="10"/>
        <v/>
      </c>
      <c r="AK25" s="26"/>
      <c r="AL25" s="21" t="str">
        <f t="shared" si="11"/>
        <v/>
      </c>
      <c r="AM25" s="21" t="str">
        <f t="shared" si="12"/>
        <v/>
      </c>
      <c r="AN25" s="21" t="str">
        <f t="shared" si="13"/>
        <v/>
      </c>
      <c r="AO25" s="21" t="str">
        <f t="shared" si="14"/>
        <v/>
      </c>
      <c r="AP25" s="21" t="str">
        <f t="shared" si="15"/>
        <v/>
      </c>
      <c r="AQ25" s="21" t="str">
        <f t="shared" si="16"/>
        <v/>
      </c>
      <c r="AR25" s="21"/>
      <c r="AS25" s="27"/>
      <c r="AT25" s="19"/>
    </row>
    <row r="26" spans="2:46" ht="30" hidden="1" customHeight="1" x14ac:dyDescent="0.25">
      <c r="B26" s="34" t="s">
        <v>106</v>
      </c>
      <c r="C26" s="35">
        <v>0</v>
      </c>
      <c r="D26" s="35">
        <v>9000000</v>
      </c>
      <c r="E26" s="35">
        <v>2373292200</v>
      </c>
      <c r="F26" s="34" t="s">
        <v>107</v>
      </c>
      <c r="K26" s="4" t="s">
        <v>126</v>
      </c>
      <c r="L26" s="26">
        <f t="shared" si="17"/>
        <v>9000000</v>
      </c>
      <c r="M26" s="15" t="str">
        <f t="shared" si="18"/>
        <v>Đúng</v>
      </c>
      <c r="N26" s="21" t="str">
        <f>IF(ISNUMBER(SEARCH("K49",$K26)),$L26,"")</f>
        <v/>
      </c>
      <c r="O26" s="21" t="str">
        <f t="shared" si="5"/>
        <v/>
      </c>
      <c r="P26" s="21"/>
      <c r="Q26" s="18">
        <f t="shared" si="19"/>
        <v>9000000</v>
      </c>
      <c r="R26" s="21" t="str">
        <f t="shared" si="7"/>
        <v/>
      </c>
      <c r="S26" s="21"/>
      <c r="T26" s="21"/>
      <c r="U26" s="21" t="str">
        <f t="shared" si="8"/>
        <v/>
      </c>
      <c r="V26" s="21"/>
      <c r="W26" s="21"/>
      <c r="X26" s="21"/>
      <c r="Y26" s="21"/>
      <c r="Z26" s="21"/>
      <c r="AA26" s="21"/>
      <c r="AB26" s="21"/>
      <c r="AC26" s="21"/>
      <c r="AD26" s="21"/>
      <c r="AE26" s="21"/>
      <c r="AF26" s="21"/>
      <c r="AG26" s="21"/>
      <c r="AH26" s="21" t="str">
        <f t="shared" si="9"/>
        <v/>
      </c>
      <c r="AI26" s="20"/>
      <c r="AJ26" s="21" t="str">
        <f t="shared" si="10"/>
        <v/>
      </c>
      <c r="AK26" s="26"/>
      <c r="AL26" s="21">
        <f t="shared" si="11"/>
        <v>9000000</v>
      </c>
      <c r="AM26" s="21" t="str">
        <f t="shared" si="12"/>
        <v/>
      </c>
      <c r="AN26" s="21" t="str">
        <f t="shared" si="13"/>
        <v/>
      </c>
      <c r="AO26" s="21" t="str">
        <f t="shared" si="14"/>
        <v/>
      </c>
      <c r="AP26" s="21" t="str">
        <f t="shared" si="15"/>
        <v/>
      </c>
      <c r="AQ26" s="21" t="str">
        <f t="shared" si="16"/>
        <v/>
      </c>
      <c r="AR26" s="21"/>
      <c r="AS26" s="27"/>
      <c r="AT26" s="19"/>
    </row>
    <row r="27" spans="2:46" ht="30" customHeight="1" x14ac:dyDescent="0.25">
      <c r="B27" s="34" t="s">
        <v>108</v>
      </c>
      <c r="C27" s="35">
        <v>0</v>
      </c>
      <c r="D27" s="35">
        <v>3024000</v>
      </c>
      <c r="E27" s="35">
        <v>2376316200</v>
      </c>
      <c r="F27" s="34" t="s">
        <v>109</v>
      </c>
      <c r="K27" s="4" t="s">
        <v>67</v>
      </c>
      <c r="L27" s="26">
        <f t="shared" si="17"/>
        <v>3024000</v>
      </c>
      <c r="M27" s="15" t="str">
        <f t="shared" si="18"/>
        <v>Đúng</v>
      </c>
      <c r="N27" s="21">
        <f t="shared" si="4"/>
        <v>3024000</v>
      </c>
      <c r="O27" s="21" t="str">
        <f t="shared" si="5"/>
        <v/>
      </c>
      <c r="P27" s="21"/>
      <c r="Q27" s="18">
        <f t="shared" si="19"/>
        <v>3024000</v>
      </c>
      <c r="R27" s="21" t="str">
        <f t="shared" si="7"/>
        <v/>
      </c>
      <c r="S27" s="21"/>
      <c r="T27" s="21"/>
      <c r="U27" s="21" t="str">
        <f t="shared" si="8"/>
        <v/>
      </c>
      <c r="V27" s="21"/>
      <c r="W27" s="21"/>
      <c r="X27" s="21"/>
      <c r="Y27" s="21"/>
      <c r="Z27" s="21"/>
      <c r="AA27" s="21"/>
      <c r="AB27" s="21"/>
      <c r="AC27" s="21"/>
      <c r="AD27" s="21"/>
      <c r="AE27" s="21"/>
      <c r="AF27" s="21"/>
      <c r="AG27" s="21"/>
      <c r="AH27" s="21" t="str">
        <f t="shared" si="9"/>
        <v/>
      </c>
      <c r="AI27" s="20"/>
      <c r="AJ27" s="21" t="str">
        <f t="shared" si="10"/>
        <v/>
      </c>
      <c r="AK27" s="26"/>
      <c r="AL27" s="21" t="str">
        <f t="shared" si="11"/>
        <v/>
      </c>
      <c r="AM27" s="21" t="str">
        <f t="shared" si="12"/>
        <v/>
      </c>
      <c r="AN27" s="21" t="str">
        <f t="shared" si="13"/>
        <v/>
      </c>
      <c r="AO27" s="21" t="str">
        <f t="shared" si="14"/>
        <v/>
      </c>
      <c r="AP27" s="21" t="str">
        <f t="shared" si="15"/>
        <v/>
      </c>
      <c r="AQ27" s="21" t="str">
        <f t="shared" si="16"/>
        <v/>
      </c>
      <c r="AR27" s="21"/>
      <c r="AS27" s="27"/>
      <c r="AT27" s="19"/>
    </row>
    <row r="28" spans="2:46" ht="30" hidden="1" customHeight="1" x14ac:dyDescent="0.25">
      <c r="B28" s="34" t="s">
        <v>110</v>
      </c>
      <c r="C28" s="35">
        <v>0</v>
      </c>
      <c r="D28" s="35">
        <v>200000</v>
      </c>
      <c r="E28" s="35">
        <v>2376516200</v>
      </c>
      <c r="F28" s="34" t="s">
        <v>111</v>
      </c>
      <c r="K28" s="4" t="s">
        <v>127</v>
      </c>
      <c r="L28" s="26">
        <f t="shared" si="17"/>
        <v>200000</v>
      </c>
      <c r="M28" s="15" t="str">
        <f t="shared" si="18"/>
        <v>Đúng</v>
      </c>
      <c r="N28" s="21" t="str">
        <f t="shared" si="4"/>
        <v/>
      </c>
      <c r="O28" s="21" t="str">
        <f t="shared" si="5"/>
        <v/>
      </c>
      <c r="P28" s="21"/>
      <c r="Q28" s="18">
        <f t="shared" si="19"/>
        <v>200000</v>
      </c>
      <c r="R28" s="21">
        <f t="shared" si="7"/>
        <v>200000</v>
      </c>
      <c r="S28" s="21"/>
      <c r="T28" s="21"/>
      <c r="U28" s="21" t="str">
        <f t="shared" si="8"/>
        <v/>
      </c>
      <c r="V28" s="21"/>
      <c r="W28" s="21"/>
      <c r="X28" s="21"/>
      <c r="Y28" s="21"/>
      <c r="Z28" s="21"/>
      <c r="AA28" s="21"/>
      <c r="AB28" s="21"/>
      <c r="AC28" s="21"/>
      <c r="AD28" s="21"/>
      <c r="AE28" s="21"/>
      <c r="AF28" s="21"/>
      <c r="AG28" s="21"/>
      <c r="AH28" s="21" t="str">
        <f t="shared" si="9"/>
        <v/>
      </c>
      <c r="AI28" s="20"/>
      <c r="AJ28" s="21" t="str">
        <f t="shared" si="10"/>
        <v/>
      </c>
      <c r="AK28" s="26"/>
      <c r="AL28" s="21" t="str">
        <f t="shared" si="11"/>
        <v/>
      </c>
      <c r="AM28" s="21" t="str">
        <f t="shared" si="12"/>
        <v/>
      </c>
      <c r="AN28" s="21" t="str">
        <f t="shared" si="13"/>
        <v/>
      </c>
      <c r="AO28" s="21" t="str">
        <f t="shared" si="14"/>
        <v/>
      </c>
      <c r="AP28" s="21" t="str">
        <f t="shared" si="15"/>
        <v/>
      </c>
      <c r="AQ28" s="21" t="str">
        <f t="shared" si="16"/>
        <v/>
      </c>
      <c r="AR28" s="21"/>
      <c r="AS28" s="27"/>
      <c r="AT28" s="19"/>
    </row>
    <row r="29" spans="2:46" ht="30" hidden="1" customHeight="1" x14ac:dyDescent="0.25">
      <c r="B29" s="34" t="s">
        <v>112</v>
      </c>
      <c r="C29" s="35">
        <v>0</v>
      </c>
      <c r="D29" s="35">
        <v>3600000</v>
      </c>
      <c r="E29" s="35">
        <v>2380116200</v>
      </c>
      <c r="F29" s="34" t="s">
        <v>113</v>
      </c>
      <c r="K29" s="4" t="s">
        <v>128</v>
      </c>
      <c r="L29" s="26">
        <f t="shared" si="17"/>
        <v>3600000</v>
      </c>
      <c r="M29" s="15" t="str">
        <f t="shared" si="18"/>
        <v>Sai</v>
      </c>
      <c r="N29" s="21" t="str">
        <f t="shared" si="4"/>
        <v/>
      </c>
      <c r="O29" s="21" t="str">
        <f t="shared" si="5"/>
        <v/>
      </c>
      <c r="P29" s="21"/>
      <c r="Q29" s="18">
        <f t="shared" si="19"/>
        <v>0</v>
      </c>
      <c r="R29" s="21" t="str">
        <f t="shared" si="7"/>
        <v/>
      </c>
      <c r="S29" s="21"/>
      <c r="T29" s="21"/>
      <c r="U29" s="21" t="str">
        <f t="shared" si="8"/>
        <v/>
      </c>
      <c r="V29" s="21"/>
      <c r="W29" s="21"/>
      <c r="X29" s="21"/>
      <c r="Y29" s="21"/>
      <c r="Z29" s="21"/>
      <c r="AA29" s="21"/>
      <c r="AB29" s="21"/>
      <c r="AC29" s="21"/>
      <c r="AD29" s="21"/>
      <c r="AE29" s="21"/>
      <c r="AF29" s="21"/>
      <c r="AG29" s="21"/>
      <c r="AH29" s="21" t="str">
        <f t="shared" si="9"/>
        <v/>
      </c>
      <c r="AI29" s="20"/>
      <c r="AJ29" s="21" t="str">
        <f t="shared" si="10"/>
        <v/>
      </c>
      <c r="AK29" s="26"/>
      <c r="AL29" s="21" t="str">
        <f t="shared" si="11"/>
        <v/>
      </c>
      <c r="AM29" s="21" t="str">
        <f t="shared" si="12"/>
        <v/>
      </c>
      <c r="AN29" s="21" t="str">
        <f t="shared" si="13"/>
        <v/>
      </c>
      <c r="AO29" s="21" t="str">
        <f t="shared" si="14"/>
        <v/>
      </c>
      <c r="AP29" s="21" t="str">
        <f t="shared" si="15"/>
        <v/>
      </c>
      <c r="AQ29" s="21" t="str">
        <f t="shared" si="16"/>
        <v/>
      </c>
      <c r="AR29" s="21"/>
      <c r="AS29" s="27"/>
      <c r="AT29" s="19"/>
    </row>
    <row r="30" spans="2:46" ht="30" hidden="1" customHeight="1" x14ac:dyDescent="0.25">
      <c r="B30" s="34" t="s">
        <v>114</v>
      </c>
      <c r="C30" s="35">
        <v>0</v>
      </c>
      <c r="D30" s="35">
        <v>900000</v>
      </c>
      <c r="E30" s="35">
        <v>2381016200</v>
      </c>
      <c r="F30" s="34" t="s">
        <v>115</v>
      </c>
      <c r="K30" s="4" t="s">
        <v>64</v>
      </c>
      <c r="L30" s="26">
        <f t="shared" si="17"/>
        <v>900000</v>
      </c>
      <c r="M30" s="15" t="str">
        <f t="shared" si="18"/>
        <v>Đúng</v>
      </c>
      <c r="N30" s="21" t="str">
        <f t="shared" si="4"/>
        <v/>
      </c>
      <c r="O30" s="21" t="str">
        <f t="shared" si="5"/>
        <v/>
      </c>
      <c r="P30" s="21"/>
      <c r="Q30" s="18">
        <f t="shared" si="19"/>
        <v>900000</v>
      </c>
      <c r="R30" s="21" t="str">
        <f t="shared" si="7"/>
        <v/>
      </c>
      <c r="S30" s="21"/>
      <c r="T30" s="21"/>
      <c r="U30" s="21" t="str">
        <f t="shared" si="8"/>
        <v/>
      </c>
      <c r="V30" s="21"/>
      <c r="W30" s="21"/>
      <c r="X30" s="21"/>
      <c r="Y30" s="21"/>
      <c r="Z30" s="21"/>
      <c r="AA30" s="21"/>
      <c r="AB30" s="21"/>
      <c r="AC30" s="21"/>
      <c r="AD30" s="21"/>
      <c r="AE30" s="21"/>
      <c r="AF30" s="21"/>
      <c r="AG30" s="21"/>
      <c r="AH30" s="21" t="str">
        <f t="shared" si="9"/>
        <v/>
      </c>
      <c r="AI30" s="20"/>
      <c r="AJ30" s="21" t="str">
        <f t="shared" si="10"/>
        <v/>
      </c>
      <c r="AK30" s="26"/>
      <c r="AL30" s="21" t="str">
        <f t="shared" si="11"/>
        <v/>
      </c>
      <c r="AM30" s="21" t="str">
        <f t="shared" si="12"/>
        <v/>
      </c>
      <c r="AN30" s="21">
        <f t="shared" si="13"/>
        <v>900000</v>
      </c>
      <c r="AO30" s="21" t="str">
        <f t="shared" si="14"/>
        <v/>
      </c>
      <c r="AP30" s="21" t="str">
        <f t="shared" si="15"/>
        <v/>
      </c>
      <c r="AQ30" s="21" t="str">
        <f t="shared" si="16"/>
        <v/>
      </c>
      <c r="AR30" s="21"/>
      <c r="AS30" s="27"/>
      <c r="AT30" s="19"/>
    </row>
    <row r="31" spans="2:46" ht="30" hidden="1" customHeight="1" x14ac:dyDescent="0.25">
      <c r="B31" s="34" t="s">
        <v>116</v>
      </c>
      <c r="C31" s="35">
        <v>0</v>
      </c>
      <c r="D31" s="35">
        <v>1800000</v>
      </c>
      <c r="E31" s="35">
        <v>2382816200</v>
      </c>
      <c r="F31" s="34" t="s">
        <v>117</v>
      </c>
      <c r="K31" s="4" t="s">
        <v>64</v>
      </c>
      <c r="L31" s="26">
        <f t="shared" si="17"/>
        <v>1800000</v>
      </c>
      <c r="M31" s="15" t="str">
        <f t="shared" si="18"/>
        <v>Đúng</v>
      </c>
      <c r="N31" s="21" t="str">
        <f t="shared" si="4"/>
        <v/>
      </c>
      <c r="O31" s="21" t="str">
        <f t="shared" si="5"/>
        <v/>
      </c>
      <c r="P31" s="21"/>
      <c r="Q31" s="18">
        <f t="shared" si="19"/>
        <v>1800000</v>
      </c>
      <c r="R31" s="21" t="str">
        <f t="shared" si="7"/>
        <v/>
      </c>
      <c r="S31" s="21"/>
      <c r="T31" s="21"/>
      <c r="U31" s="21" t="str">
        <f t="shared" si="8"/>
        <v/>
      </c>
      <c r="V31" s="21"/>
      <c r="W31" s="21"/>
      <c r="X31" s="21"/>
      <c r="Y31" s="21"/>
      <c r="Z31" s="21"/>
      <c r="AA31" s="21"/>
      <c r="AB31" s="21"/>
      <c r="AC31" s="21"/>
      <c r="AD31" s="21"/>
      <c r="AE31" s="21"/>
      <c r="AF31" s="21"/>
      <c r="AG31" s="21"/>
      <c r="AH31" s="21" t="str">
        <f t="shared" si="9"/>
        <v/>
      </c>
      <c r="AI31" s="20"/>
      <c r="AJ31" s="21" t="str">
        <f t="shared" si="10"/>
        <v/>
      </c>
      <c r="AK31" s="26"/>
      <c r="AL31" s="21" t="str">
        <f t="shared" si="11"/>
        <v/>
      </c>
      <c r="AM31" s="21" t="str">
        <f t="shared" si="12"/>
        <v/>
      </c>
      <c r="AN31" s="21">
        <f t="shared" si="13"/>
        <v>1800000</v>
      </c>
      <c r="AO31" s="21" t="str">
        <f t="shared" si="14"/>
        <v/>
      </c>
      <c r="AP31" s="21" t="str">
        <f t="shared" si="15"/>
        <v/>
      </c>
      <c r="AQ31" s="21" t="str">
        <f t="shared" si="16"/>
        <v/>
      </c>
      <c r="AR31" s="21"/>
      <c r="AS31" s="27"/>
      <c r="AT31" s="19"/>
    </row>
    <row r="32" spans="2:46" ht="30" hidden="1" customHeight="1" x14ac:dyDescent="0.25">
      <c r="B32" s="34" t="s">
        <v>118</v>
      </c>
      <c r="C32" s="35">
        <v>0</v>
      </c>
      <c r="D32" s="35">
        <v>720000</v>
      </c>
      <c r="E32" s="35">
        <v>2383536200</v>
      </c>
      <c r="F32" s="34" t="s">
        <v>119</v>
      </c>
      <c r="K32" s="4" t="s">
        <v>64</v>
      </c>
      <c r="L32" s="26">
        <f t="shared" si="17"/>
        <v>720000</v>
      </c>
      <c r="M32" s="15" t="str">
        <f t="shared" si="18"/>
        <v>Đúng</v>
      </c>
      <c r="N32" s="21" t="str">
        <f t="shared" si="4"/>
        <v/>
      </c>
      <c r="O32" s="21" t="str">
        <f t="shared" si="5"/>
        <v/>
      </c>
      <c r="P32" s="21"/>
      <c r="Q32" s="18">
        <f t="shared" si="19"/>
        <v>720000</v>
      </c>
      <c r="R32" s="21" t="str">
        <f t="shared" si="7"/>
        <v/>
      </c>
      <c r="S32" s="21"/>
      <c r="T32" s="21"/>
      <c r="U32" s="21" t="str">
        <f t="shared" si="8"/>
        <v/>
      </c>
      <c r="V32" s="21"/>
      <c r="W32" s="21"/>
      <c r="X32" s="21"/>
      <c r="Y32" s="21"/>
      <c r="Z32" s="21"/>
      <c r="AA32" s="21"/>
      <c r="AB32" s="21"/>
      <c r="AC32" s="21"/>
      <c r="AD32" s="21"/>
      <c r="AE32" s="21"/>
      <c r="AF32" s="21"/>
      <c r="AG32" s="21"/>
      <c r="AH32" s="21" t="str">
        <f t="shared" si="9"/>
        <v/>
      </c>
      <c r="AI32" s="20"/>
      <c r="AJ32" s="21" t="str">
        <f t="shared" si="10"/>
        <v/>
      </c>
      <c r="AK32" s="26"/>
      <c r="AL32" s="21" t="str">
        <f t="shared" si="11"/>
        <v/>
      </c>
      <c r="AM32" s="21" t="str">
        <f t="shared" si="12"/>
        <v/>
      </c>
      <c r="AN32" s="21">
        <f t="shared" si="13"/>
        <v>720000</v>
      </c>
      <c r="AO32" s="21" t="str">
        <f t="shared" si="14"/>
        <v/>
      </c>
      <c r="AP32" s="21" t="str">
        <f t="shared" si="15"/>
        <v/>
      </c>
      <c r="AQ32" s="21" t="str">
        <f t="shared" si="16"/>
        <v/>
      </c>
      <c r="AR32" s="21"/>
      <c r="AS32" s="27"/>
      <c r="AT32" s="19"/>
    </row>
    <row r="33" spans="2:46" ht="30" hidden="1" customHeight="1" x14ac:dyDescent="0.25">
      <c r="B33" s="34" t="s">
        <v>120</v>
      </c>
      <c r="C33" s="35">
        <v>0</v>
      </c>
      <c r="D33" s="35">
        <v>3600000</v>
      </c>
      <c r="E33" s="35">
        <v>2387136200</v>
      </c>
      <c r="F33" s="34" t="s">
        <v>121</v>
      </c>
      <c r="K33" s="4" t="s">
        <v>128</v>
      </c>
      <c r="L33" s="26">
        <f t="shared" si="17"/>
        <v>3600000</v>
      </c>
      <c r="M33" s="15" t="str">
        <f t="shared" si="18"/>
        <v>Sai</v>
      </c>
      <c r="N33" s="21" t="str">
        <f t="shared" si="4"/>
        <v/>
      </c>
      <c r="O33" s="21" t="str">
        <f t="shared" si="5"/>
        <v/>
      </c>
      <c r="P33" s="21"/>
      <c r="Q33" s="18">
        <f t="shared" si="19"/>
        <v>0</v>
      </c>
      <c r="R33" s="21" t="str">
        <f t="shared" si="7"/>
        <v/>
      </c>
      <c r="S33" s="21"/>
      <c r="T33" s="21"/>
      <c r="U33" s="21" t="str">
        <f t="shared" si="8"/>
        <v/>
      </c>
      <c r="V33" s="21"/>
      <c r="W33" s="21"/>
      <c r="X33" s="21"/>
      <c r="Y33" s="21"/>
      <c r="Z33" s="21"/>
      <c r="AA33" s="21"/>
      <c r="AB33" s="21"/>
      <c r="AC33" s="21"/>
      <c r="AD33" s="21"/>
      <c r="AE33" s="21"/>
      <c r="AF33" s="21"/>
      <c r="AG33" s="21"/>
      <c r="AH33" s="21" t="str">
        <f t="shared" si="9"/>
        <v/>
      </c>
      <c r="AI33" s="20"/>
      <c r="AJ33" s="21" t="str">
        <f t="shared" si="10"/>
        <v/>
      </c>
      <c r="AK33" s="26"/>
      <c r="AL33" s="21" t="str">
        <f t="shared" si="11"/>
        <v/>
      </c>
      <c r="AM33" s="21" t="str">
        <f t="shared" si="12"/>
        <v/>
      </c>
      <c r="AN33" s="21" t="str">
        <f t="shared" si="13"/>
        <v/>
      </c>
      <c r="AO33" s="21" t="str">
        <f t="shared" si="14"/>
        <v/>
      </c>
      <c r="AP33" s="21" t="str">
        <f t="shared" si="15"/>
        <v/>
      </c>
      <c r="AQ33" s="21" t="str">
        <f t="shared" si="16"/>
        <v/>
      </c>
      <c r="AR33" s="21"/>
      <c r="AS33" s="27"/>
      <c r="AT33" s="19"/>
    </row>
    <row r="34" spans="2:46" ht="30" customHeight="1" x14ac:dyDescent="0.25">
      <c r="B34" s="34" t="s">
        <v>122</v>
      </c>
      <c r="C34" s="35">
        <v>0</v>
      </c>
      <c r="D34" s="35">
        <v>3024000</v>
      </c>
      <c r="E34" s="35">
        <v>2390160200</v>
      </c>
      <c r="F34" s="34" t="s">
        <v>123</v>
      </c>
      <c r="K34" s="4" t="s">
        <v>67</v>
      </c>
      <c r="L34" s="26">
        <f t="shared" si="17"/>
        <v>3024000</v>
      </c>
      <c r="M34" s="15" t="str">
        <f t="shared" si="18"/>
        <v>Đúng</v>
      </c>
      <c r="N34" s="21">
        <f t="shared" si="4"/>
        <v>3024000</v>
      </c>
      <c r="O34" s="21" t="str">
        <f t="shared" si="5"/>
        <v/>
      </c>
      <c r="P34" s="21"/>
      <c r="Q34" s="18">
        <f t="shared" si="19"/>
        <v>3024000</v>
      </c>
      <c r="R34" s="21" t="str">
        <f t="shared" si="7"/>
        <v/>
      </c>
      <c r="S34" s="21"/>
      <c r="T34" s="21"/>
      <c r="U34" s="21" t="str">
        <f t="shared" si="8"/>
        <v/>
      </c>
      <c r="V34" s="21"/>
      <c r="W34" s="21"/>
      <c r="X34" s="21"/>
      <c r="Y34" s="21"/>
      <c r="Z34" s="21"/>
      <c r="AA34" s="21"/>
      <c r="AB34" s="21"/>
      <c r="AC34" s="21"/>
      <c r="AD34" s="21"/>
      <c r="AE34" s="21"/>
      <c r="AF34" s="21"/>
      <c r="AG34" s="21"/>
      <c r="AH34" s="21" t="str">
        <f t="shared" si="9"/>
        <v/>
      </c>
      <c r="AI34" s="20"/>
      <c r="AJ34" s="21" t="str">
        <f t="shared" si="10"/>
        <v/>
      </c>
      <c r="AK34" s="26"/>
      <c r="AL34" s="21" t="str">
        <f t="shared" si="11"/>
        <v/>
      </c>
      <c r="AM34" s="21" t="str">
        <f t="shared" si="12"/>
        <v/>
      </c>
      <c r="AN34" s="21" t="str">
        <f t="shared" si="13"/>
        <v/>
      </c>
      <c r="AO34" s="21" t="str">
        <f t="shared" si="14"/>
        <v/>
      </c>
      <c r="AP34" s="21" t="str">
        <f t="shared" si="15"/>
        <v/>
      </c>
      <c r="AQ34" s="21" t="str">
        <f t="shared" si="16"/>
        <v/>
      </c>
      <c r="AR34" s="21"/>
      <c r="AS34" s="27"/>
      <c r="AT34" s="19"/>
    </row>
    <row r="35" spans="2:46" ht="30" customHeight="1" x14ac:dyDescent="0.25">
      <c r="B35" s="34" t="s">
        <v>124</v>
      </c>
      <c r="C35" s="35">
        <v>0</v>
      </c>
      <c r="D35" s="35">
        <v>3024000</v>
      </c>
      <c r="E35" s="35">
        <v>2393184200</v>
      </c>
      <c r="F35" s="34" t="s">
        <v>125</v>
      </c>
      <c r="K35" s="4" t="s">
        <v>67</v>
      </c>
      <c r="L35" s="26">
        <f t="shared" si="17"/>
        <v>3024000</v>
      </c>
      <c r="M35" s="15" t="str">
        <f t="shared" si="18"/>
        <v>Đúng</v>
      </c>
      <c r="N35" s="21">
        <f t="shared" si="4"/>
        <v>3024000</v>
      </c>
      <c r="O35" s="21" t="str">
        <f t="shared" si="5"/>
        <v/>
      </c>
      <c r="P35" s="21"/>
      <c r="Q35" s="18">
        <f t="shared" si="19"/>
        <v>3024000</v>
      </c>
      <c r="R35" s="21" t="str">
        <f t="shared" si="7"/>
        <v/>
      </c>
      <c r="S35" s="21"/>
      <c r="T35" s="21"/>
      <c r="U35" s="21" t="str">
        <f t="shared" si="8"/>
        <v/>
      </c>
      <c r="V35" s="21"/>
      <c r="W35" s="21"/>
      <c r="X35" s="21"/>
      <c r="Y35" s="21"/>
      <c r="Z35" s="21"/>
      <c r="AA35" s="21"/>
      <c r="AB35" s="21"/>
      <c r="AC35" s="21"/>
      <c r="AD35" s="21"/>
      <c r="AE35" s="21"/>
      <c r="AF35" s="21"/>
      <c r="AG35" s="21"/>
      <c r="AH35" s="21" t="str">
        <f t="shared" si="9"/>
        <v/>
      </c>
      <c r="AI35" s="20"/>
      <c r="AJ35" s="21" t="str">
        <f t="shared" si="10"/>
        <v/>
      </c>
      <c r="AK35" s="26"/>
      <c r="AL35" s="21" t="str">
        <f t="shared" si="11"/>
        <v/>
      </c>
      <c r="AM35" s="21" t="str">
        <f t="shared" si="12"/>
        <v/>
      </c>
      <c r="AN35" s="21" t="str">
        <f t="shared" si="13"/>
        <v/>
      </c>
      <c r="AO35" s="21" t="str">
        <f t="shared" si="14"/>
        <v/>
      </c>
      <c r="AP35" s="21" t="str">
        <f t="shared" si="15"/>
        <v/>
      </c>
      <c r="AQ35" s="21" t="str">
        <f t="shared" si="16"/>
        <v/>
      </c>
      <c r="AR35" s="21"/>
      <c r="AS35" s="27"/>
      <c r="AT35" s="19"/>
    </row>
    <row r="36" spans="2:46" ht="30" customHeight="1" x14ac:dyDescent="0.25">
      <c r="B36" s="34" t="s">
        <v>129</v>
      </c>
      <c r="C36" s="35">
        <v>0</v>
      </c>
      <c r="D36" s="35">
        <v>3024000</v>
      </c>
      <c r="E36" s="35">
        <v>2396208200</v>
      </c>
      <c r="F36" s="34" t="s">
        <v>130</v>
      </c>
      <c r="K36" s="4" t="s">
        <v>67</v>
      </c>
      <c r="L36" s="26">
        <f t="shared" ref="L36:L51" si="20">D36</f>
        <v>3024000</v>
      </c>
      <c r="M36" s="15" t="str">
        <f t="shared" ref="M36:M51" si="21">IF(Q36=L36, "Đúng", "Sai")</f>
        <v>Đúng</v>
      </c>
      <c r="N36" s="21">
        <f t="shared" si="4"/>
        <v>3024000</v>
      </c>
      <c r="O36" s="21" t="str">
        <f t="shared" si="5"/>
        <v/>
      </c>
      <c r="P36" s="21"/>
      <c r="Q36" s="18">
        <f t="shared" ref="Q36:Q51" si="22">SUM(R36:AQ36)+SUM(N36:P36)</f>
        <v>3024000</v>
      </c>
      <c r="R36" s="21" t="str">
        <f t="shared" si="7"/>
        <v/>
      </c>
      <c r="S36" s="21"/>
      <c r="T36" s="21"/>
      <c r="U36" s="21" t="str">
        <f t="shared" si="8"/>
        <v/>
      </c>
      <c r="V36" s="21"/>
      <c r="W36" s="21"/>
      <c r="X36" s="21"/>
      <c r="Y36" s="21"/>
      <c r="Z36" s="21"/>
      <c r="AA36" s="21"/>
      <c r="AB36" s="21"/>
      <c r="AC36" s="21"/>
      <c r="AD36" s="21"/>
      <c r="AE36" s="21"/>
      <c r="AF36" s="21"/>
      <c r="AG36" s="21"/>
      <c r="AH36" s="21" t="str">
        <f t="shared" si="9"/>
        <v/>
      </c>
      <c r="AI36" s="20"/>
      <c r="AJ36" s="21" t="str">
        <f t="shared" si="10"/>
        <v/>
      </c>
      <c r="AK36" s="26"/>
      <c r="AL36" s="21" t="str">
        <f t="shared" si="11"/>
        <v/>
      </c>
      <c r="AM36" s="21" t="str">
        <f t="shared" si="12"/>
        <v/>
      </c>
      <c r="AN36" s="21" t="str">
        <f t="shared" si="13"/>
        <v/>
      </c>
      <c r="AO36" s="21" t="str">
        <f t="shared" si="14"/>
        <v/>
      </c>
      <c r="AP36" s="21" t="str">
        <f t="shared" si="15"/>
        <v/>
      </c>
      <c r="AQ36" s="21" t="str">
        <f t="shared" si="16"/>
        <v/>
      </c>
      <c r="AR36" s="21"/>
      <c r="AS36" s="27"/>
      <c r="AT36" s="19"/>
    </row>
    <row r="37" spans="2:46" ht="30" customHeight="1" x14ac:dyDescent="0.25">
      <c r="B37" s="34" t="s">
        <v>131</v>
      </c>
      <c r="C37" s="35">
        <v>0</v>
      </c>
      <c r="D37" s="35">
        <v>9250000</v>
      </c>
      <c r="E37" s="35">
        <v>2405458200</v>
      </c>
      <c r="F37" s="34" t="s">
        <v>132</v>
      </c>
      <c r="K37" s="4" t="s">
        <v>67</v>
      </c>
      <c r="L37" s="26">
        <f t="shared" si="20"/>
        <v>9250000</v>
      </c>
      <c r="M37" s="15" t="str">
        <f t="shared" si="21"/>
        <v>Đúng</v>
      </c>
      <c r="N37" s="21">
        <f t="shared" si="4"/>
        <v>9250000</v>
      </c>
      <c r="O37" s="21" t="str">
        <f t="shared" si="5"/>
        <v/>
      </c>
      <c r="P37" s="21"/>
      <c r="Q37" s="18">
        <f t="shared" si="22"/>
        <v>9250000</v>
      </c>
      <c r="R37" s="21" t="str">
        <f t="shared" si="7"/>
        <v/>
      </c>
      <c r="S37" s="21"/>
      <c r="T37" s="21"/>
      <c r="U37" s="21" t="str">
        <f t="shared" si="8"/>
        <v/>
      </c>
      <c r="V37" s="21"/>
      <c r="W37" s="21"/>
      <c r="X37" s="21"/>
      <c r="Y37" s="21"/>
      <c r="Z37" s="21"/>
      <c r="AA37" s="21"/>
      <c r="AB37" s="21"/>
      <c r="AC37" s="21"/>
      <c r="AD37" s="21"/>
      <c r="AE37" s="21"/>
      <c r="AF37" s="21"/>
      <c r="AG37" s="21"/>
      <c r="AH37" s="21" t="str">
        <f t="shared" si="9"/>
        <v/>
      </c>
      <c r="AI37" s="20"/>
      <c r="AJ37" s="21" t="str">
        <f t="shared" si="10"/>
        <v/>
      </c>
      <c r="AK37" s="26"/>
      <c r="AL37" s="21" t="str">
        <f t="shared" si="11"/>
        <v/>
      </c>
      <c r="AM37" s="21" t="str">
        <f t="shared" si="12"/>
        <v/>
      </c>
      <c r="AN37" s="21" t="str">
        <f t="shared" si="13"/>
        <v/>
      </c>
      <c r="AO37" s="21" t="str">
        <f t="shared" si="14"/>
        <v/>
      </c>
      <c r="AP37" s="21" t="str">
        <f t="shared" si="15"/>
        <v/>
      </c>
      <c r="AQ37" s="21" t="str">
        <f t="shared" si="16"/>
        <v/>
      </c>
      <c r="AR37" s="21"/>
      <c r="AS37" s="27"/>
      <c r="AT37" s="19"/>
    </row>
    <row r="38" spans="2:46" ht="30" customHeight="1" x14ac:dyDescent="0.25">
      <c r="B38" s="34" t="s">
        <v>133</v>
      </c>
      <c r="C38" s="35">
        <v>0</v>
      </c>
      <c r="D38" s="35">
        <v>9250000</v>
      </c>
      <c r="E38" s="35">
        <v>2414708200</v>
      </c>
      <c r="F38" s="34" t="s">
        <v>134</v>
      </c>
      <c r="K38" s="4" t="s">
        <v>67</v>
      </c>
      <c r="L38" s="26">
        <f t="shared" si="20"/>
        <v>9250000</v>
      </c>
      <c r="M38" s="15" t="str">
        <f t="shared" si="21"/>
        <v>Đúng</v>
      </c>
      <c r="N38" s="21">
        <f t="shared" si="4"/>
        <v>9250000</v>
      </c>
      <c r="O38" s="21" t="str">
        <f t="shared" si="5"/>
        <v/>
      </c>
      <c r="P38" s="21"/>
      <c r="Q38" s="18">
        <f t="shared" si="22"/>
        <v>9250000</v>
      </c>
      <c r="R38" s="21" t="str">
        <f t="shared" si="7"/>
        <v/>
      </c>
      <c r="S38" s="21"/>
      <c r="T38" s="21"/>
      <c r="U38" s="21" t="str">
        <f t="shared" si="8"/>
        <v/>
      </c>
      <c r="V38" s="21"/>
      <c r="W38" s="21"/>
      <c r="X38" s="21"/>
      <c r="Y38" s="21"/>
      <c r="Z38" s="21"/>
      <c r="AA38" s="21"/>
      <c r="AB38" s="21"/>
      <c r="AC38" s="21"/>
      <c r="AD38" s="21"/>
      <c r="AE38" s="21"/>
      <c r="AF38" s="21"/>
      <c r="AG38" s="21"/>
      <c r="AH38" s="21" t="str">
        <f t="shared" si="9"/>
        <v/>
      </c>
      <c r="AI38" s="20"/>
      <c r="AJ38" s="21" t="str">
        <f t="shared" si="10"/>
        <v/>
      </c>
      <c r="AK38" s="26"/>
      <c r="AL38" s="21" t="str">
        <f t="shared" si="11"/>
        <v/>
      </c>
      <c r="AM38" s="21" t="str">
        <f t="shared" si="12"/>
        <v/>
      </c>
      <c r="AN38" s="21" t="str">
        <f t="shared" si="13"/>
        <v/>
      </c>
      <c r="AO38" s="21" t="str">
        <f t="shared" si="14"/>
        <v/>
      </c>
      <c r="AP38" s="21" t="str">
        <f t="shared" si="15"/>
        <v/>
      </c>
      <c r="AQ38" s="21" t="str">
        <f t="shared" si="16"/>
        <v/>
      </c>
      <c r="AR38" s="21"/>
      <c r="AS38" s="27"/>
      <c r="AT38" s="19"/>
    </row>
    <row r="39" spans="2:46" ht="30" customHeight="1" x14ac:dyDescent="0.25">
      <c r="B39" s="34" t="s">
        <v>135</v>
      </c>
      <c r="C39" s="35">
        <v>0</v>
      </c>
      <c r="D39" s="35">
        <v>3024000</v>
      </c>
      <c r="E39" s="35">
        <v>2417732200</v>
      </c>
      <c r="F39" s="34" t="s">
        <v>136</v>
      </c>
      <c r="K39" s="4" t="s">
        <v>67</v>
      </c>
      <c r="L39" s="26">
        <f t="shared" si="20"/>
        <v>3024000</v>
      </c>
      <c r="M39" s="15" t="str">
        <f t="shared" si="21"/>
        <v>Đúng</v>
      </c>
      <c r="N39" s="21">
        <f t="shared" si="4"/>
        <v>3024000</v>
      </c>
      <c r="O39" s="21" t="str">
        <f t="shared" si="5"/>
        <v/>
      </c>
      <c r="P39" s="21"/>
      <c r="Q39" s="18">
        <f t="shared" si="22"/>
        <v>3024000</v>
      </c>
      <c r="R39" s="21" t="str">
        <f t="shared" si="7"/>
        <v/>
      </c>
      <c r="S39" s="21"/>
      <c r="T39" s="21"/>
      <c r="U39" s="21" t="str">
        <f t="shared" si="8"/>
        <v/>
      </c>
      <c r="V39" s="21"/>
      <c r="W39" s="21"/>
      <c r="X39" s="21"/>
      <c r="Y39" s="21"/>
      <c r="Z39" s="21"/>
      <c r="AA39" s="21"/>
      <c r="AB39" s="21"/>
      <c r="AC39" s="21"/>
      <c r="AD39" s="21"/>
      <c r="AE39" s="21"/>
      <c r="AF39" s="21"/>
      <c r="AG39" s="21"/>
      <c r="AH39" s="21" t="str">
        <f t="shared" si="9"/>
        <v/>
      </c>
      <c r="AI39" s="20"/>
      <c r="AJ39" s="21" t="str">
        <f t="shared" si="10"/>
        <v/>
      </c>
      <c r="AK39" s="26"/>
      <c r="AL39" s="21" t="str">
        <f t="shared" si="11"/>
        <v/>
      </c>
      <c r="AM39" s="21" t="str">
        <f t="shared" si="12"/>
        <v/>
      </c>
      <c r="AN39" s="21" t="str">
        <f t="shared" si="13"/>
        <v/>
      </c>
      <c r="AO39" s="21" t="str">
        <f t="shared" si="14"/>
        <v/>
      </c>
      <c r="AP39" s="21" t="str">
        <f t="shared" si="15"/>
        <v/>
      </c>
      <c r="AQ39" s="21" t="str">
        <f t="shared" si="16"/>
        <v/>
      </c>
      <c r="AR39" s="21"/>
      <c r="AS39" s="27"/>
      <c r="AT39" s="19"/>
    </row>
    <row r="40" spans="2:46" ht="30" customHeight="1" x14ac:dyDescent="0.25">
      <c r="B40" s="34" t="s">
        <v>137</v>
      </c>
      <c r="C40" s="35">
        <v>0</v>
      </c>
      <c r="D40" s="35">
        <v>9280000</v>
      </c>
      <c r="E40" s="35">
        <v>2427012200</v>
      </c>
      <c r="F40" s="34" t="s">
        <v>138</v>
      </c>
      <c r="K40" s="4" t="s">
        <v>67</v>
      </c>
      <c r="L40" s="26">
        <f t="shared" si="20"/>
        <v>9280000</v>
      </c>
      <c r="M40" s="15" t="str">
        <f t="shared" si="21"/>
        <v>Đúng</v>
      </c>
      <c r="N40" s="21">
        <f t="shared" si="4"/>
        <v>9280000</v>
      </c>
      <c r="O40" s="21" t="str">
        <f t="shared" si="5"/>
        <v/>
      </c>
      <c r="P40" s="21"/>
      <c r="Q40" s="18">
        <f t="shared" si="22"/>
        <v>9280000</v>
      </c>
      <c r="R40" s="21" t="str">
        <f t="shared" si="7"/>
        <v/>
      </c>
      <c r="S40" s="21"/>
      <c r="T40" s="21"/>
      <c r="U40" s="21" t="str">
        <f t="shared" si="8"/>
        <v/>
      </c>
      <c r="V40" s="21"/>
      <c r="W40" s="21"/>
      <c r="X40" s="21"/>
      <c r="Y40" s="21"/>
      <c r="Z40" s="21"/>
      <c r="AA40" s="21"/>
      <c r="AB40" s="21"/>
      <c r="AC40" s="21"/>
      <c r="AD40" s="21"/>
      <c r="AE40" s="21"/>
      <c r="AF40" s="21"/>
      <c r="AG40" s="21"/>
      <c r="AH40" s="21" t="str">
        <f t="shared" si="9"/>
        <v/>
      </c>
      <c r="AI40" s="20"/>
      <c r="AJ40" s="21" t="str">
        <f t="shared" si="10"/>
        <v/>
      </c>
      <c r="AK40" s="26"/>
      <c r="AL40" s="21" t="str">
        <f t="shared" si="11"/>
        <v/>
      </c>
      <c r="AM40" s="21" t="str">
        <f t="shared" si="12"/>
        <v/>
      </c>
      <c r="AN40" s="21" t="str">
        <f t="shared" si="13"/>
        <v/>
      </c>
      <c r="AO40" s="21" t="str">
        <f t="shared" si="14"/>
        <v/>
      </c>
      <c r="AP40" s="21" t="str">
        <f t="shared" si="15"/>
        <v/>
      </c>
      <c r="AQ40" s="21" t="str">
        <f t="shared" si="16"/>
        <v/>
      </c>
      <c r="AR40" s="21"/>
      <c r="AS40" s="27"/>
      <c r="AT40" s="19"/>
    </row>
    <row r="41" spans="2:46" ht="30" customHeight="1" x14ac:dyDescent="0.25">
      <c r="B41" s="34" t="s">
        <v>139</v>
      </c>
      <c r="C41" s="35">
        <v>0</v>
      </c>
      <c r="D41" s="35">
        <v>3024000</v>
      </c>
      <c r="E41" s="35">
        <v>2430036200</v>
      </c>
      <c r="F41" s="34" t="s">
        <v>140</v>
      </c>
      <c r="K41" s="4" t="s">
        <v>67</v>
      </c>
      <c r="L41" s="26">
        <f t="shared" si="20"/>
        <v>3024000</v>
      </c>
      <c r="M41" s="15" t="str">
        <f t="shared" si="21"/>
        <v>Đúng</v>
      </c>
      <c r="N41" s="21">
        <f t="shared" si="4"/>
        <v>3024000</v>
      </c>
      <c r="O41" s="21" t="str">
        <f t="shared" si="5"/>
        <v/>
      </c>
      <c r="P41" s="21"/>
      <c r="Q41" s="18">
        <f t="shared" si="22"/>
        <v>3024000</v>
      </c>
      <c r="R41" s="21" t="str">
        <f t="shared" si="7"/>
        <v/>
      </c>
      <c r="S41" s="21"/>
      <c r="T41" s="21"/>
      <c r="U41" s="21" t="str">
        <f t="shared" si="8"/>
        <v/>
      </c>
      <c r="V41" s="21"/>
      <c r="W41" s="21"/>
      <c r="X41" s="21"/>
      <c r="Y41" s="21"/>
      <c r="Z41" s="21"/>
      <c r="AA41" s="21"/>
      <c r="AB41" s="21"/>
      <c r="AC41" s="21"/>
      <c r="AD41" s="21"/>
      <c r="AE41" s="21"/>
      <c r="AF41" s="21"/>
      <c r="AG41" s="21"/>
      <c r="AH41" s="21" t="str">
        <f t="shared" si="9"/>
        <v/>
      </c>
      <c r="AI41" s="20"/>
      <c r="AJ41" s="21" t="str">
        <f t="shared" si="10"/>
        <v/>
      </c>
      <c r="AK41" s="26"/>
      <c r="AL41" s="21" t="str">
        <f t="shared" si="11"/>
        <v/>
      </c>
      <c r="AM41" s="21" t="str">
        <f t="shared" si="12"/>
        <v/>
      </c>
      <c r="AN41" s="21" t="str">
        <f t="shared" si="13"/>
        <v/>
      </c>
      <c r="AO41" s="21" t="str">
        <f t="shared" si="14"/>
        <v/>
      </c>
      <c r="AP41" s="21" t="str">
        <f t="shared" si="15"/>
        <v/>
      </c>
      <c r="AQ41" s="21" t="str">
        <f t="shared" si="16"/>
        <v/>
      </c>
      <c r="AR41" s="21"/>
      <c r="AS41" s="27"/>
      <c r="AT41" s="19"/>
    </row>
    <row r="42" spans="2:46" ht="30" customHeight="1" x14ac:dyDescent="0.25">
      <c r="B42" s="34" t="s">
        <v>141</v>
      </c>
      <c r="C42" s="35">
        <v>0</v>
      </c>
      <c r="D42" s="35">
        <v>3024000</v>
      </c>
      <c r="E42" s="35">
        <v>2433060200</v>
      </c>
      <c r="F42" s="34" t="s">
        <v>142</v>
      </c>
      <c r="K42" s="4" t="s">
        <v>67</v>
      </c>
      <c r="L42" s="26">
        <f t="shared" si="20"/>
        <v>3024000</v>
      </c>
      <c r="M42" s="15" t="str">
        <f t="shared" si="21"/>
        <v>Đúng</v>
      </c>
      <c r="N42" s="21">
        <f t="shared" si="4"/>
        <v>3024000</v>
      </c>
      <c r="O42" s="21" t="str">
        <f t="shared" si="5"/>
        <v/>
      </c>
      <c r="P42" s="21"/>
      <c r="Q42" s="18">
        <f t="shared" si="22"/>
        <v>3024000</v>
      </c>
      <c r="R42" s="21" t="str">
        <f t="shared" si="7"/>
        <v/>
      </c>
      <c r="S42" s="21"/>
      <c r="T42" s="21"/>
      <c r="U42" s="21" t="str">
        <f t="shared" si="8"/>
        <v/>
      </c>
      <c r="V42" s="21"/>
      <c r="W42" s="21"/>
      <c r="X42" s="21"/>
      <c r="Y42" s="21"/>
      <c r="Z42" s="21"/>
      <c r="AA42" s="21"/>
      <c r="AB42" s="21"/>
      <c r="AC42" s="21"/>
      <c r="AD42" s="21"/>
      <c r="AE42" s="21"/>
      <c r="AF42" s="21"/>
      <c r="AG42" s="21"/>
      <c r="AH42" s="21" t="str">
        <f t="shared" si="9"/>
        <v/>
      </c>
      <c r="AI42" s="20"/>
      <c r="AJ42" s="21" t="str">
        <f t="shared" si="10"/>
        <v/>
      </c>
      <c r="AK42" s="26"/>
      <c r="AL42" s="21" t="str">
        <f t="shared" si="11"/>
        <v/>
      </c>
      <c r="AM42" s="21" t="str">
        <f t="shared" si="12"/>
        <v/>
      </c>
      <c r="AN42" s="21" t="str">
        <f t="shared" si="13"/>
        <v/>
      </c>
      <c r="AO42" s="21" t="str">
        <f t="shared" si="14"/>
        <v/>
      </c>
      <c r="AP42" s="21" t="str">
        <f t="shared" si="15"/>
        <v/>
      </c>
      <c r="AQ42" s="21" t="str">
        <f t="shared" si="16"/>
        <v/>
      </c>
      <c r="AR42" s="21"/>
      <c r="AS42" s="27"/>
      <c r="AT42" s="19"/>
    </row>
    <row r="43" spans="2:46" ht="30" customHeight="1" x14ac:dyDescent="0.25">
      <c r="B43" s="34" t="s">
        <v>143</v>
      </c>
      <c r="C43" s="35">
        <v>0</v>
      </c>
      <c r="D43" s="35">
        <v>3024000</v>
      </c>
      <c r="E43" s="35">
        <v>2436084200</v>
      </c>
      <c r="F43" s="34" t="s">
        <v>144</v>
      </c>
      <c r="K43" s="4" t="s">
        <v>67</v>
      </c>
      <c r="L43" s="26">
        <f t="shared" si="20"/>
        <v>3024000</v>
      </c>
      <c r="M43" s="15" t="str">
        <f t="shared" si="21"/>
        <v>Đúng</v>
      </c>
      <c r="N43" s="21">
        <f t="shared" si="4"/>
        <v>3024000</v>
      </c>
      <c r="O43" s="21" t="str">
        <f t="shared" si="5"/>
        <v/>
      </c>
      <c r="P43" s="21"/>
      <c r="Q43" s="18">
        <f t="shared" si="22"/>
        <v>3024000</v>
      </c>
      <c r="R43" s="21" t="str">
        <f t="shared" si="7"/>
        <v/>
      </c>
      <c r="S43" s="21"/>
      <c r="T43" s="21"/>
      <c r="U43" s="21" t="str">
        <f t="shared" si="8"/>
        <v/>
      </c>
      <c r="V43" s="21"/>
      <c r="W43" s="21"/>
      <c r="X43" s="21"/>
      <c r="Y43" s="21"/>
      <c r="Z43" s="21"/>
      <c r="AA43" s="21"/>
      <c r="AB43" s="21"/>
      <c r="AC43" s="21"/>
      <c r="AD43" s="21"/>
      <c r="AE43" s="21"/>
      <c r="AF43" s="21"/>
      <c r="AG43" s="21"/>
      <c r="AH43" s="21" t="str">
        <f t="shared" si="9"/>
        <v/>
      </c>
      <c r="AI43" s="20"/>
      <c r="AJ43" s="21" t="str">
        <f t="shared" si="10"/>
        <v/>
      </c>
      <c r="AK43" s="26"/>
      <c r="AL43" s="21" t="str">
        <f t="shared" si="11"/>
        <v/>
      </c>
      <c r="AM43" s="21" t="str">
        <f t="shared" si="12"/>
        <v/>
      </c>
      <c r="AN43" s="21" t="str">
        <f t="shared" si="13"/>
        <v/>
      </c>
      <c r="AO43" s="21" t="str">
        <f t="shared" si="14"/>
        <v/>
      </c>
      <c r="AP43" s="21" t="str">
        <f t="shared" si="15"/>
        <v/>
      </c>
      <c r="AQ43" s="21" t="str">
        <f t="shared" si="16"/>
        <v/>
      </c>
      <c r="AR43" s="21"/>
      <c r="AS43" s="27"/>
      <c r="AT43" s="19"/>
    </row>
    <row r="44" spans="2:46" ht="30" customHeight="1" x14ac:dyDescent="0.25">
      <c r="B44" s="34" t="s">
        <v>145</v>
      </c>
      <c r="C44" s="35">
        <v>0</v>
      </c>
      <c r="D44" s="35">
        <v>3024000</v>
      </c>
      <c r="E44" s="35">
        <v>2439108200</v>
      </c>
      <c r="F44" s="34" t="s">
        <v>146</v>
      </c>
      <c r="K44" s="4" t="s">
        <v>67</v>
      </c>
      <c r="L44" s="26">
        <f t="shared" si="20"/>
        <v>3024000</v>
      </c>
      <c r="M44" s="15" t="str">
        <f t="shared" si="21"/>
        <v>Đúng</v>
      </c>
      <c r="N44" s="21">
        <f t="shared" ref="N44:N107" si="23">IF(ISNUMBER(SEARCH("K49",$K44)),$L44,"")</f>
        <v>3024000</v>
      </c>
      <c r="O44" s="21" t="str">
        <f t="shared" ref="O44:O107" si="24">IF(ISNUMBER(SEARCH("LDLK",$K44)),$L44,"")</f>
        <v/>
      </c>
      <c r="P44" s="21"/>
      <c r="Q44" s="18">
        <f t="shared" si="22"/>
        <v>3024000</v>
      </c>
      <c r="R44" s="21" t="str">
        <f t="shared" ref="R44:R107" si="25">IF(ISNUMBER(SEARCH("LPXT",$K44)),$L44,"")</f>
        <v/>
      </c>
      <c r="S44" s="21"/>
      <c r="T44" s="21"/>
      <c r="U44" s="21" t="str">
        <f t="shared" ref="U44:U107" si="26">IF(ISNUMBER(SEARCH("BHYT",$K44)),$L44,"")</f>
        <v/>
      </c>
      <c r="V44" s="21"/>
      <c r="W44" s="21"/>
      <c r="X44" s="21"/>
      <c r="Y44" s="21"/>
      <c r="Z44" s="21"/>
      <c r="AA44" s="21"/>
      <c r="AB44" s="21"/>
      <c r="AC44" s="21"/>
      <c r="AD44" s="21"/>
      <c r="AE44" s="21"/>
      <c r="AF44" s="21"/>
      <c r="AG44" s="21"/>
      <c r="AH44" s="21" t="str">
        <f t="shared" ref="AH44:AH107" si="27">IF(OR(ISNUMBER(SEARCH("Chuyển nhầm",$K44)),ISNUMBER(SEARCH("NH trả về",$K44))),$L44,"")</f>
        <v/>
      </c>
      <c r="AI44" s="20"/>
      <c r="AJ44" s="21" t="str">
        <f t="shared" ref="AJ44:AJ107" si="28">IF(ISNUMBER(SEARCH("Đặt Cọc",$K44)),$L44,"")</f>
        <v/>
      </c>
      <c r="AK44" s="26"/>
      <c r="AL44" s="21" t="str">
        <f t="shared" ref="AL44:AL107" si="29">IF(OR(ISNUMBER(SEARCH("NVSP",$K44)),ISNUMBER(SEARCH("Ngắn hạn",$K44))),$L44,"")</f>
        <v/>
      </c>
      <c r="AM44" s="21" t="str">
        <f t="shared" ref="AM44:AM107" si="30">IF(ISNUMBER(SEARCH("Doanh Nghiệp TT",$K44)),$L44,"")</f>
        <v/>
      </c>
      <c r="AN44" s="21" t="str">
        <f t="shared" ref="AN44:AN107" si="31">IF(ISNUMBER(SEARCH("Học lại",$K44)),$L44,"")</f>
        <v/>
      </c>
      <c r="AO44" s="21" t="str">
        <f t="shared" ref="AO44:AO107" si="32">IF(ISNUMBER(SEARCH("Lãi tiền gửi",$K44)),$L44,"")</f>
        <v/>
      </c>
      <c r="AP44" s="21" t="str">
        <f t="shared" ref="AP44:AP107" si="33">IF(ISNUMBER(SEARCH("Lãi HĐ",$K44)),$L44,"")</f>
        <v/>
      </c>
      <c r="AQ44" s="21" t="str">
        <f t="shared" ref="AQ44:AQ107" si="34">IF(ISNUMBER(SEARCH("Cô Thương",$K44)),$L44,"")</f>
        <v/>
      </c>
      <c r="AR44" s="21"/>
      <c r="AS44" s="27"/>
      <c r="AT44" s="19"/>
    </row>
    <row r="45" spans="2:46" ht="30" customHeight="1" x14ac:dyDescent="0.25">
      <c r="B45" s="34" t="s">
        <v>147</v>
      </c>
      <c r="C45" s="35">
        <v>0</v>
      </c>
      <c r="D45" s="35">
        <v>3024000</v>
      </c>
      <c r="E45" s="35">
        <v>2442132200</v>
      </c>
      <c r="F45" s="34" t="s">
        <v>148</v>
      </c>
      <c r="K45" s="4" t="s">
        <v>67</v>
      </c>
      <c r="L45" s="26">
        <f t="shared" si="20"/>
        <v>3024000</v>
      </c>
      <c r="M45" s="15" t="str">
        <f t="shared" si="21"/>
        <v>Đúng</v>
      </c>
      <c r="N45" s="21">
        <f t="shared" si="23"/>
        <v>3024000</v>
      </c>
      <c r="O45" s="21" t="str">
        <f t="shared" si="24"/>
        <v/>
      </c>
      <c r="P45" s="21"/>
      <c r="Q45" s="18">
        <f t="shared" si="22"/>
        <v>3024000</v>
      </c>
      <c r="R45" s="21" t="str">
        <f t="shared" si="25"/>
        <v/>
      </c>
      <c r="S45" s="21"/>
      <c r="T45" s="21"/>
      <c r="U45" s="21" t="str">
        <f t="shared" si="26"/>
        <v/>
      </c>
      <c r="V45" s="21"/>
      <c r="W45" s="21"/>
      <c r="X45" s="21"/>
      <c r="Y45" s="21"/>
      <c r="Z45" s="21"/>
      <c r="AA45" s="21"/>
      <c r="AB45" s="21"/>
      <c r="AC45" s="21"/>
      <c r="AD45" s="21"/>
      <c r="AE45" s="21"/>
      <c r="AF45" s="21"/>
      <c r="AG45" s="21"/>
      <c r="AH45" s="21" t="str">
        <f t="shared" si="27"/>
        <v/>
      </c>
      <c r="AI45" s="20"/>
      <c r="AJ45" s="21" t="str">
        <f t="shared" si="28"/>
        <v/>
      </c>
      <c r="AK45" s="26"/>
      <c r="AL45" s="21" t="str">
        <f t="shared" si="29"/>
        <v/>
      </c>
      <c r="AM45" s="21" t="str">
        <f t="shared" si="30"/>
        <v/>
      </c>
      <c r="AN45" s="21" t="str">
        <f t="shared" si="31"/>
        <v/>
      </c>
      <c r="AO45" s="21" t="str">
        <f t="shared" si="32"/>
        <v/>
      </c>
      <c r="AP45" s="21" t="str">
        <f t="shared" si="33"/>
        <v/>
      </c>
      <c r="AQ45" s="21" t="str">
        <f t="shared" si="34"/>
        <v/>
      </c>
      <c r="AR45" s="21"/>
      <c r="AS45" s="27"/>
      <c r="AT45" s="19"/>
    </row>
    <row r="46" spans="2:46" ht="30" customHeight="1" x14ac:dyDescent="0.25">
      <c r="B46" s="34" t="s">
        <v>149</v>
      </c>
      <c r="C46" s="35">
        <v>0</v>
      </c>
      <c r="D46" s="35">
        <v>3024000</v>
      </c>
      <c r="E46" s="35">
        <v>2445156200</v>
      </c>
      <c r="F46" s="34" t="s">
        <v>150</v>
      </c>
      <c r="K46" s="4" t="s">
        <v>67</v>
      </c>
      <c r="L46" s="26">
        <f t="shared" si="20"/>
        <v>3024000</v>
      </c>
      <c r="M46" s="15" t="str">
        <f t="shared" si="21"/>
        <v>Đúng</v>
      </c>
      <c r="N46" s="21">
        <f t="shared" si="23"/>
        <v>3024000</v>
      </c>
      <c r="O46" s="21" t="str">
        <f t="shared" si="24"/>
        <v/>
      </c>
      <c r="P46" s="21"/>
      <c r="Q46" s="18">
        <f t="shared" si="22"/>
        <v>3024000</v>
      </c>
      <c r="R46" s="21" t="str">
        <f t="shared" si="25"/>
        <v/>
      </c>
      <c r="S46" s="21"/>
      <c r="T46" s="21"/>
      <c r="U46" s="21" t="str">
        <f t="shared" si="26"/>
        <v/>
      </c>
      <c r="V46" s="21"/>
      <c r="W46" s="21"/>
      <c r="X46" s="21"/>
      <c r="Y46" s="21"/>
      <c r="Z46" s="21"/>
      <c r="AA46" s="21"/>
      <c r="AB46" s="21"/>
      <c r="AC46" s="21"/>
      <c r="AD46" s="21"/>
      <c r="AE46" s="21"/>
      <c r="AF46" s="21"/>
      <c r="AG46" s="21"/>
      <c r="AH46" s="21" t="str">
        <f t="shared" si="27"/>
        <v/>
      </c>
      <c r="AI46" s="20"/>
      <c r="AJ46" s="21" t="str">
        <f t="shared" si="28"/>
        <v/>
      </c>
      <c r="AK46" s="26"/>
      <c r="AL46" s="21" t="str">
        <f t="shared" si="29"/>
        <v/>
      </c>
      <c r="AM46" s="21" t="str">
        <f t="shared" si="30"/>
        <v/>
      </c>
      <c r="AN46" s="21" t="str">
        <f t="shared" si="31"/>
        <v/>
      </c>
      <c r="AO46" s="21" t="str">
        <f t="shared" si="32"/>
        <v/>
      </c>
      <c r="AP46" s="21" t="str">
        <f t="shared" si="33"/>
        <v/>
      </c>
      <c r="AQ46" s="21" t="str">
        <f t="shared" si="34"/>
        <v/>
      </c>
      <c r="AR46" s="21"/>
      <c r="AS46" s="27"/>
      <c r="AT46" s="19"/>
    </row>
    <row r="47" spans="2:46" ht="30" customHeight="1" x14ac:dyDescent="0.25">
      <c r="B47" s="34" t="s">
        <v>151</v>
      </c>
      <c r="C47" s="35">
        <v>0</v>
      </c>
      <c r="D47" s="35">
        <v>9280000</v>
      </c>
      <c r="E47" s="35">
        <v>2454436200</v>
      </c>
      <c r="F47" s="34" t="s">
        <v>152</v>
      </c>
      <c r="K47" s="4" t="s">
        <v>67</v>
      </c>
      <c r="L47" s="26">
        <f t="shared" si="20"/>
        <v>9280000</v>
      </c>
      <c r="M47" s="15" t="str">
        <f t="shared" si="21"/>
        <v>Đúng</v>
      </c>
      <c r="N47" s="21">
        <f t="shared" si="23"/>
        <v>9280000</v>
      </c>
      <c r="O47" s="21" t="str">
        <f t="shared" si="24"/>
        <v/>
      </c>
      <c r="P47" s="21"/>
      <c r="Q47" s="18">
        <f t="shared" si="22"/>
        <v>9280000</v>
      </c>
      <c r="R47" s="21" t="str">
        <f t="shared" si="25"/>
        <v/>
      </c>
      <c r="S47" s="21"/>
      <c r="T47" s="21"/>
      <c r="U47" s="21" t="str">
        <f t="shared" si="26"/>
        <v/>
      </c>
      <c r="V47" s="21"/>
      <c r="W47" s="21"/>
      <c r="X47" s="21"/>
      <c r="Y47" s="21"/>
      <c r="Z47" s="21"/>
      <c r="AA47" s="21"/>
      <c r="AB47" s="21"/>
      <c r="AC47" s="21"/>
      <c r="AD47" s="21"/>
      <c r="AE47" s="21"/>
      <c r="AF47" s="21"/>
      <c r="AG47" s="21"/>
      <c r="AH47" s="21" t="str">
        <f t="shared" si="27"/>
        <v/>
      </c>
      <c r="AI47" s="20"/>
      <c r="AJ47" s="21" t="str">
        <f t="shared" si="28"/>
        <v/>
      </c>
      <c r="AK47" s="26"/>
      <c r="AL47" s="21" t="str">
        <f t="shared" si="29"/>
        <v/>
      </c>
      <c r="AM47" s="21" t="str">
        <f t="shared" si="30"/>
        <v/>
      </c>
      <c r="AN47" s="21" t="str">
        <f t="shared" si="31"/>
        <v/>
      </c>
      <c r="AO47" s="21" t="str">
        <f t="shared" si="32"/>
        <v/>
      </c>
      <c r="AP47" s="21" t="str">
        <f t="shared" si="33"/>
        <v/>
      </c>
      <c r="AQ47" s="21" t="str">
        <f t="shared" si="34"/>
        <v/>
      </c>
      <c r="AR47" s="21"/>
      <c r="AS47" s="27"/>
      <c r="AT47" s="19"/>
    </row>
    <row r="48" spans="2:46" ht="30" customHeight="1" x14ac:dyDescent="0.25">
      <c r="B48" s="34" t="s">
        <v>153</v>
      </c>
      <c r="C48" s="35">
        <v>0</v>
      </c>
      <c r="D48" s="35">
        <v>9280000</v>
      </c>
      <c r="E48" s="35">
        <v>2463716200</v>
      </c>
      <c r="F48" s="34" t="s">
        <v>154</v>
      </c>
      <c r="K48" s="4" t="s">
        <v>67</v>
      </c>
      <c r="L48" s="26">
        <f t="shared" si="20"/>
        <v>9280000</v>
      </c>
      <c r="M48" s="15" t="str">
        <f t="shared" si="21"/>
        <v>Đúng</v>
      </c>
      <c r="N48" s="21">
        <f t="shared" si="23"/>
        <v>9280000</v>
      </c>
      <c r="O48" s="21" t="str">
        <f t="shared" si="24"/>
        <v/>
      </c>
      <c r="P48" s="21"/>
      <c r="Q48" s="18">
        <f t="shared" si="22"/>
        <v>9280000</v>
      </c>
      <c r="R48" s="21" t="str">
        <f t="shared" si="25"/>
        <v/>
      </c>
      <c r="S48" s="21"/>
      <c r="T48" s="21"/>
      <c r="U48" s="21" t="str">
        <f t="shared" si="26"/>
        <v/>
      </c>
      <c r="V48" s="21"/>
      <c r="W48" s="21"/>
      <c r="X48" s="21"/>
      <c r="Y48" s="21"/>
      <c r="Z48" s="21"/>
      <c r="AA48" s="21"/>
      <c r="AB48" s="21"/>
      <c r="AC48" s="21"/>
      <c r="AD48" s="21"/>
      <c r="AE48" s="21"/>
      <c r="AF48" s="21"/>
      <c r="AG48" s="21"/>
      <c r="AH48" s="21" t="str">
        <f t="shared" si="27"/>
        <v/>
      </c>
      <c r="AI48" s="20"/>
      <c r="AJ48" s="21" t="str">
        <f t="shared" si="28"/>
        <v/>
      </c>
      <c r="AK48" s="26"/>
      <c r="AL48" s="21" t="str">
        <f t="shared" si="29"/>
        <v/>
      </c>
      <c r="AM48" s="21" t="str">
        <f t="shared" si="30"/>
        <v/>
      </c>
      <c r="AN48" s="21" t="str">
        <f t="shared" si="31"/>
        <v/>
      </c>
      <c r="AO48" s="21" t="str">
        <f t="shared" si="32"/>
        <v/>
      </c>
      <c r="AP48" s="21" t="str">
        <f t="shared" si="33"/>
        <v/>
      </c>
      <c r="AQ48" s="21" t="str">
        <f t="shared" si="34"/>
        <v/>
      </c>
      <c r="AR48" s="21"/>
      <c r="AS48" s="27"/>
      <c r="AT48" s="19"/>
    </row>
    <row r="49" spans="2:46" ht="30" hidden="1" customHeight="1" x14ac:dyDescent="0.25">
      <c r="B49" s="34" t="s">
        <v>155</v>
      </c>
      <c r="C49" s="35">
        <v>0</v>
      </c>
      <c r="D49" s="35">
        <v>200000</v>
      </c>
      <c r="E49" s="35">
        <v>2463916200</v>
      </c>
      <c r="F49" s="34" t="s">
        <v>156</v>
      </c>
      <c r="K49" s="4" t="s">
        <v>69</v>
      </c>
      <c r="L49" s="26">
        <f t="shared" si="20"/>
        <v>200000</v>
      </c>
      <c r="M49" s="15" t="str">
        <f t="shared" si="21"/>
        <v>Đúng</v>
      </c>
      <c r="N49" s="21" t="str">
        <f t="shared" si="23"/>
        <v/>
      </c>
      <c r="O49" s="21" t="str">
        <f t="shared" si="24"/>
        <v/>
      </c>
      <c r="P49" s="21"/>
      <c r="Q49" s="18">
        <f t="shared" si="22"/>
        <v>200000</v>
      </c>
      <c r="R49" s="21">
        <f t="shared" si="25"/>
        <v>200000</v>
      </c>
      <c r="S49" s="21"/>
      <c r="T49" s="21"/>
      <c r="U49" s="21" t="str">
        <f t="shared" si="26"/>
        <v/>
      </c>
      <c r="V49" s="21"/>
      <c r="W49" s="21"/>
      <c r="X49" s="21"/>
      <c r="Y49" s="21"/>
      <c r="Z49" s="21"/>
      <c r="AA49" s="21"/>
      <c r="AB49" s="21"/>
      <c r="AC49" s="21"/>
      <c r="AD49" s="21"/>
      <c r="AE49" s="21"/>
      <c r="AF49" s="21"/>
      <c r="AG49" s="21"/>
      <c r="AH49" s="21" t="str">
        <f t="shared" si="27"/>
        <v/>
      </c>
      <c r="AI49" s="20"/>
      <c r="AJ49" s="21" t="str">
        <f t="shared" si="28"/>
        <v/>
      </c>
      <c r="AK49" s="26"/>
      <c r="AL49" s="21" t="str">
        <f t="shared" si="29"/>
        <v/>
      </c>
      <c r="AM49" s="21" t="str">
        <f t="shared" si="30"/>
        <v/>
      </c>
      <c r="AN49" s="21" t="str">
        <f t="shared" si="31"/>
        <v/>
      </c>
      <c r="AO49" s="21" t="str">
        <f t="shared" si="32"/>
        <v/>
      </c>
      <c r="AP49" s="21" t="str">
        <f t="shared" si="33"/>
        <v/>
      </c>
      <c r="AQ49" s="21" t="str">
        <f t="shared" si="34"/>
        <v/>
      </c>
      <c r="AR49" s="21"/>
      <c r="AS49" s="27"/>
      <c r="AT49" s="19"/>
    </row>
    <row r="50" spans="2:46" ht="30" customHeight="1" x14ac:dyDescent="0.25">
      <c r="B50" s="34" t="s">
        <v>157</v>
      </c>
      <c r="C50" s="35">
        <v>0</v>
      </c>
      <c r="D50" s="35">
        <v>3024000</v>
      </c>
      <c r="E50" s="35">
        <v>2466940200</v>
      </c>
      <c r="F50" s="34" t="s">
        <v>158</v>
      </c>
      <c r="K50" s="4" t="s">
        <v>67</v>
      </c>
      <c r="L50" s="26">
        <f t="shared" si="20"/>
        <v>3024000</v>
      </c>
      <c r="M50" s="15" t="str">
        <f t="shared" si="21"/>
        <v>Đúng</v>
      </c>
      <c r="N50" s="21">
        <f t="shared" si="23"/>
        <v>3024000</v>
      </c>
      <c r="O50" s="21" t="str">
        <f t="shared" si="24"/>
        <v/>
      </c>
      <c r="P50" s="21"/>
      <c r="Q50" s="18">
        <f t="shared" si="22"/>
        <v>3024000</v>
      </c>
      <c r="R50" s="21" t="str">
        <f t="shared" si="25"/>
        <v/>
      </c>
      <c r="S50" s="21"/>
      <c r="T50" s="21"/>
      <c r="U50" s="21" t="str">
        <f t="shared" si="26"/>
        <v/>
      </c>
      <c r="V50" s="21"/>
      <c r="W50" s="21"/>
      <c r="X50" s="21"/>
      <c r="Y50" s="21"/>
      <c r="Z50" s="21"/>
      <c r="AA50" s="21"/>
      <c r="AB50" s="21"/>
      <c r="AC50" s="21"/>
      <c r="AD50" s="21"/>
      <c r="AE50" s="21"/>
      <c r="AF50" s="21"/>
      <c r="AG50" s="21"/>
      <c r="AH50" s="21" t="str">
        <f t="shared" si="27"/>
        <v/>
      </c>
      <c r="AI50" s="20"/>
      <c r="AJ50" s="21" t="str">
        <f t="shared" si="28"/>
        <v/>
      </c>
      <c r="AK50" s="26"/>
      <c r="AL50" s="21" t="str">
        <f t="shared" si="29"/>
        <v/>
      </c>
      <c r="AM50" s="21" t="str">
        <f t="shared" si="30"/>
        <v/>
      </c>
      <c r="AN50" s="21" t="str">
        <f t="shared" si="31"/>
        <v/>
      </c>
      <c r="AO50" s="21" t="str">
        <f t="shared" si="32"/>
        <v/>
      </c>
      <c r="AP50" s="21" t="str">
        <f t="shared" si="33"/>
        <v/>
      </c>
      <c r="AQ50" s="21" t="str">
        <f t="shared" si="34"/>
        <v/>
      </c>
      <c r="AR50" s="21"/>
      <c r="AS50" s="27"/>
      <c r="AT50" s="19"/>
    </row>
    <row r="51" spans="2:46" ht="30" hidden="1" customHeight="1" x14ac:dyDescent="0.25">
      <c r="B51" s="34" t="s">
        <v>159</v>
      </c>
      <c r="C51" s="35">
        <v>0</v>
      </c>
      <c r="D51" s="35">
        <v>200000</v>
      </c>
      <c r="E51" s="35">
        <v>2467140200</v>
      </c>
      <c r="F51" s="34" t="s">
        <v>160</v>
      </c>
      <c r="K51" s="4" t="s">
        <v>69</v>
      </c>
      <c r="L51" s="26">
        <f t="shared" si="20"/>
        <v>200000</v>
      </c>
      <c r="M51" s="15" t="str">
        <f t="shared" si="21"/>
        <v>Đúng</v>
      </c>
      <c r="N51" s="21" t="str">
        <f t="shared" si="23"/>
        <v/>
      </c>
      <c r="O51" s="21" t="str">
        <f t="shared" si="24"/>
        <v/>
      </c>
      <c r="P51" s="21"/>
      <c r="Q51" s="18">
        <f t="shared" si="22"/>
        <v>200000</v>
      </c>
      <c r="R51" s="21">
        <f t="shared" si="25"/>
        <v>200000</v>
      </c>
      <c r="S51" s="21"/>
      <c r="T51" s="21"/>
      <c r="U51" s="21" t="str">
        <f t="shared" si="26"/>
        <v/>
      </c>
      <c r="V51" s="21"/>
      <c r="W51" s="21"/>
      <c r="X51" s="21"/>
      <c r="Y51" s="21"/>
      <c r="Z51" s="21"/>
      <c r="AA51" s="21"/>
      <c r="AB51" s="21"/>
      <c r="AC51" s="21"/>
      <c r="AD51" s="21"/>
      <c r="AE51" s="21"/>
      <c r="AF51" s="21"/>
      <c r="AG51" s="21"/>
      <c r="AH51" s="21" t="str">
        <f t="shared" si="27"/>
        <v/>
      </c>
      <c r="AI51" s="20"/>
      <c r="AJ51" s="21" t="str">
        <f t="shared" si="28"/>
        <v/>
      </c>
      <c r="AK51" s="26"/>
      <c r="AL51" s="21" t="str">
        <f t="shared" si="29"/>
        <v/>
      </c>
      <c r="AM51" s="21" t="str">
        <f t="shared" si="30"/>
        <v/>
      </c>
      <c r="AN51" s="21" t="str">
        <f t="shared" si="31"/>
        <v/>
      </c>
      <c r="AO51" s="21" t="str">
        <f t="shared" si="32"/>
        <v/>
      </c>
      <c r="AP51" s="21" t="str">
        <f t="shared" si="33"/>
        <v/>
      </c>
      <c r="AQ51" s="21" t="str">
        <f t="shared" si="34"/>
        <v/>
      </c>
      <c r="AR51" s="21"/>
      <c r="AS51" s="27"/>
      <c r="AT51" s="19"/>
    </row>
    <row r="52" spans="2:46" ht="30" hidden="1" customHeight="1" x14ac:dyDescent="0.25">
      <c r="B52" s="34" t="s">
        <v>161</v>
      </c>
      <c r="C52" s="35">
        <v>0</v>
      </c>
      <c r="D52" s="35">
        <v>200000</v>
      </c>
      <c r="E52" s="35">
        <v>2467340200</v>
      </c>
      <c r="F52" s="34" t="s">
        <v>162</v>
      </c>
      <c r="K52" s="4" t="s">
        <v>68</v>
      </c>
      <c r="L52" s="26">
        <f t="shared" ref="L52:L64" si="35">D52</f>
        <v>200000</v>
      </c>
      <c r="M52" s="15" t="str">
        <f t="shared" ref="M52:M64" si="36">IF(Q52=L52, "Đúng", "Sai")</f>
        <v>Đúng</v>
      </c>
      <c r="N52" s="21" t="str">
        <f t="shared" si="23"/>
        <v/>
      </c>
      <c r="O52" s="21" t="str">
        <f t="shared" si="24"/>
        <v/>
      </c>
      <c r="P52" s="21"/>
      <c r="Q52" s="18">
        <f t="shared" ref="Q52:Q64" si="37">SUM(R52:AQ52)+SUM(N52:P52)</f>
        <v>200000</v>
      </c>
      <c r="R52" s="21">
        <f t="shared" si="25"/>
        <v>200000</v>
      </c>
      <c r="S52" s="21"/>
      <c r="T52" s="21"/>
      <c r="U52" s="21" t="str">
        <f t="shared" si="26"/>
        <v/>
      </c>
      <c r="V52" s="21"/>
      <c r="W52" s="21"/>
      <c r="X52" s="21"/>
      <c r="Y52" s="21"/>
      <c r="Z52" s="21"/>
      <c r="AA52" s="21"/>
      <c r="AB52" s="21"/>
      <c r="AC52" s="21"/>
      <c r="AD52" s="21"/>
      <c r="AE52" s="21"/>
      <c r="AF52" s="21"/>
      <c r="AG52" s="21"/>
      <c r="AH52" s="21" t="str">
        <f t="shared" si="27"/>
        <v/>
      </c>
      <c r="AI52" s="20"/>
      <c r="AJ52" s="21" t="str">
        <f t="shared" si="28"/>
        <v/>
      </c>
      <c r="AK52" s="26"/>
      <c r="AL52" s="21" t="str">
        <f t="shared" si="29"/>
        <v/>
      </c>
      <c r="AM52" s="21" t="str">
        <f t="shared" si="30"/>
        <v/>
      </c>
      <c r="AN52" s="21" t="str">
        <f t="shared" si="31"/>
        <v/>
      </c>
      <c r="AO52" s="21" t="str">
        <f t="shared" si="32"/>
        <v/>
      </c>
      <c r="AP52" s="21" t="str">
        <f t="shared" si="33"/>
        <v/>
      </c>
      <c r="AQ52" s="21" t="str">
        <f t="shared" si="34"/>
        <v/>
      </c>
      <c r="AR52" s="21"/>
      <c r="AS52" s="27"/>
      <c r="AT52" s="19"/>
    </row>
    <row r="53" spans="2:46" ht="30" hidden="1" customHeight="1" x14ac:dyDescent="0.25">
      <c r="B53" s="34" t="s">
        <v>163</v>
      </c>
      <c r="C53" s="35">
        <v>0</v>
      </c>
      <c r="D53" s="35">
        <v>360000</v>
      </c>
      <c r="E53" s="35">
        <v>2467700200</v>
      </c>
      <c r="F53" s="34" t="s">
        <v>164</v>
      </c>
      <c r="K53" s="4" t="s">
        <v>64</v>
      </c>
      <c r="L53" s="26">
        <f t="shared" si="35"/>
        <v>360000</v>
      </c>
      <c r="M53" s="15" t="str">
        <f t="shared" si="36"/>
        <v>Đúng</v>
      </c>
      <c r="N53" s="21" t="str">
        <f t="shared" si="23"/>
        <v/>
      </c>
      <c r="O53" s="21" t="str">
        <f t="shared" si="24"/>
        <v/>
      </c>
      <c r="P53" s="21"/>
      <c r="Q53" s="18">
        <f t="shared" si="37"/>
        <v>360000</v>
      </c>
      <c r="R53" s="21" t="str">
        <f t="shared" si="25"/>
        <v/>
      </c>
      <c r="S53" s="21"/>
      <c r="T53" s="21"/>
      <c r="U53" s="21" t="str">
        <f t="shared" si="26"/>
        <v/>
      </c>
      <c r="V53" s="21"/>
      <c r="W53" s="21"/>
      <c r="X53" s="21"/>
      <c r="Y53" s="21"/>
      <c r="Z53" s="21"/>
      <c r="AA53" s="21"/>
      <c r="AB53" s="21"/>
      <c r="AC53" s="21"/>
      <c r="AD53" s="21"/>
      <c r="AE53" s="21"/>
      <c r="AF53" s="21"/>
      <c r="AG53" s="21"/>
      <c r="AH53" s="21" t="str">
        <f t="shared" si="27"/>
        <v/>
      </c>
      <c r="AI53" s="20"/>
      <c r="AJ53" s="21" t="str">
        <f t="shared" si="28"/>
        <v/>
      </c>
      <c r="AK53" s="26"/>
      <c r="AL53" s="21" t="str">
        <f t="shared" si="29"/>
        <v/>
      </c>
      <c r="AM53" s="21" t="str">
        <f t="shared" si="30"/>
        <v/>
      </c>
      <c r="AN53" s="21">
        <f t="shared" si="31"/>
        <v>360000</v>
      </c>
      <c r="AO53" s="21" t="str">
        <f t="shared" si="32"/>
        <v/>
      </c>
      <c r="AP53" s="21" t="str">
        <f t="shared" si="33"/>
        <v/>
      </c>
      <c r="AQ53" s="21" t="str">
        <f t="shared" si="34"/>
        <v/>
      </c>
      <c r="AR53" s="21"/>
      <c r="AS53" s="27"/>
      <c r="AT53" s="19"/>
    </row>
    <row r="54" spans="2:46" ht="30" hidden="1" customHeight="1" x14ac:dyDescent="0.25">
      <c r="B54" s="34" t="s">
        <v>165</v>
      </c>
      <c r="C54" s="35">
        <v>0</v>
      </c>
      <c r="D54" s="35">
        <v>1260000</v>
      </c>
      <c r="E54" s="35">
        <v>2468960200</v>
      </c>
      <c r="F54" s="34" t="s">
        <v>166</v>
      </c>
      <c r="K54" s="4" t="s">
        <v>64</v>
      </c>
      <c r="L54" s="26">
        <f t="shared" si="35"/>
        <v>1260000</v>
      </c>
      <c r="M54" s="15" t="str">
        <f t="shared" si="36"/>
        <v>Đúng</v>
      </c>
      <c r="N54" s="21" t="str">
        <f t="shared" si="23"/>
        <v/>
      </c>
      <c r="O54" s="21" t="str">
        <f t="shared" si="24"/>
        <v/>
      </c>
      <c r="P54" s="21"/>
      <c r="Q54" s="18">
        <f t="shared" si="37"/>
        <v>1260000</v>
      </c>
      <c r="R54" s="21" t="str">
        <f t="shared" si="25"/>
        <v/>
      </c>
      <c r="S54" s="21"/>
      <c r="T54" s="21"/>
      <c r="U54" s="21" t="str">
        <f t="shared" si="26"/>
        <v/>
      </c>
      <c r="V54" s="21"/>
      <c r="W54" s="21"/>
      <c r="X54" s="21"/>
      <c r="Y54" s="21"/>
      <c r="Z54" s="21"/>
      <c r="AA54" s="21"/>
      <c r="AB54" s="21"/>
      <c r="AC54" s="21"/>
      <c r="AD54" s="21"/>
      <c r="AE54" s="21"/>
      <c r="AF54" s="21"/>
      <c r="AG54" s="21"/>
      <c r="AH54" s="21" t="str">
        <f t="shared" si="27"/>
        <v/>
      </c>
      <c r="AI54" s="20"/>
      <c r="AJ54" s="21" t="str">
        <f t="shared" si="28"/>
        <v/>
      </c>
      <c r="AK54" s="26"/>
      <c r="AL54" s="21" t="str">
        <f t="shared" si="29"/>
        <v/>
      </c>
      <c r="AM54" s="21" t="str">
        <f t="shared" si="30"/>
        <v/>
      </c>
      <c r="AN54" s="21">
        <f t="shared" si="31"/>
        <v>1260000</v>
      </c>
      <c r="AO54" s="21" t="str">
        <f t="shared" si="32"/>
        <v/>
      </c>
      <c r="AP54" s="21" t="str">
        <f t="shared" si="33"/>
        <v/>
      </c>
      <c r="AQ54" s="21" t="str">
        <f t="shared" si="34"/>
        <v/>
      </c>
      <c r="AR54" s="21"/>
      <c r="AS54" s="27"/>
      <c r="AT54" s="19"/>
    </row>
    <row r="55" spans="2:46" ht="30" hidden="1" customHeight="1" x14ac:dyDescent="0.25">
      <c r="B55" s="34" t="s">
        <v>167</v>
      </c>
      <c r="C55" s="35">
        <v>0</v>
      </c>
      <c r="D55" s="35">
        <v>360000</v>
      </c>
      <c r="E55" s="35">
        <v>2469320200</v>
      </c>
      <c r="F55" s="34" t="s">
        <v>168</v>
      </c>
      <c r="K55" s="4" t="s">
        <v>64</v>
      </c>
      <c r="L55" s="26">
        <f t="shared" si="35"/>
        <v>360000</v>
      </c>
      <c r="M55" s="15" t="str">
        <f t="shared" si="36"/>
        <v>Đúng</v>
      </c>
      <c r="N55" s="21" t="str">
        <f t="shared" si="23"/>
        <v/>
      </c>
      <c r="O55" s="21" t="str">
        <f t="shared" si="24"/>
        <v/>
      </c>
      <c r="P55" s="21"/>
      <c r="Q55" s="18">
        <f t="shared" si="37"/>
        <v>360000</v>
      </c>
      <c r="R55" s="21" t="str">
        <f t="shared" si="25"/>
        <v/>
      </c>
      <c r="S55" s="21"/>
      <c r="T55" s="21"/>
      <c r="U55" s="21" t="str">
        <f t="shared" si="26"/>
        <v/>
      </c>
      <c r="V55" s="21"/>
      <c r="W55" s="21"/>
      <c r="X55" s="21"/>
      <c r="Y55" s="21"/>
      <c r="Z55" s="21"/>
      <c r="AA55" s="21"/>
      <c r="AB55" s="21"/>
      <c r="AC55" s="21"/>
      <c r="AD55" s="21"/>
      <c r="AE55" s="21"/>
      <c r="AF55" s="21"/>
      <c r="AG55" s="21"/>
      <c r="AH55" s="21" t="str">
        <f t="shared" si="27"/>
        <v/>
      </c>
      <c r="AI55" s="20"/>
      <c r="AJ55" s="21" t="str">
        <f t="shared" si="28"/>
        <v/>
      </c>
      <c r="AK55" s="26"/>
      <c r="AL55" s="21" t="str">
        <f t="shared" si="29"/>
        <v/>
      </c>
      <c r="AM55" s="21" t="str">
        <f t="shared" si="30"/>
        <v/>
      </c>
      <c r="AN55" s="21">
        <f t="shared" si="31"/>
        <v>360000</v>
      </c>
      <c r="AO55" s="21" t="str">
        <f t="shared" si="32"/>
        <v/>
      </c>
      <c r="AP55" s="21" t="str">
        <f t="shared" si="33"/>
        <v/>
      </c>
      <c r="AQ55" s="21" t="str">
        <f t="shared" si="34"/>
        <v/>
      </c>
      <c r="AR55" s="21"/>
      <c r="AS55" s="27"/>
      <c r="AT55" s="19"/>
    </row>
    <row r="56" spans="2:46" ht="30" hidden="1" customHeight="1" x14ac:dyDescent="0.25">
      <c r="B56" s="34" t="s">
        <v>169</v>
      </c>
      <c r="C56" s="35">
        <v>0</v>
      </c>
      <c r="D56" s="35">
        <v>200000</v>
      </c>
      <c r="E56" s="35">
        <v>2469520200</v>
      </c>
      <c r="F56" s="34" t="s">
        <v>170</v>
      </c>
      <c r="K56" s="4" t="s">
        <v>68</v>
      </c>
      <c r="L56" s="26">
        <f t="shared" si="35"/>
        <v>200000</v>
      </c>
      <c r="M56" s="15" t="str">
        <f t="shared" si="36"/>
        <v>Đúng</v>
      </c>
      <c r="N56" s="21" t="str">
        <f t="shared" si="23"/>
        <v/>
      </c>
      <c r="O56" s="21" t="str">
        <f t="shared" si="24"/>
        <v/>
      </c>
      <c r="P56" s="21"/>
      <c r="Q56" s="18">
        <f t="shared" si="37"/>
        <v>200000</v>
      </c>
      <c r="R56" s="21">
        <f t="shared" si="25"/>
        <v>200000</v>
      </c>
      <c r="S56" s="21"/>
      <c r="T56" s="21"/>
      <c r="U56" s="21" t="str">
        <f t="shared" si="26"/>
        <v/>
      </c>
      <c r="V56" s="21"/>
      <c r="W56" s="21"/>
      <c r="X56" s="21"/>
      <c r="Y56" s="21"/>
      <c r="Z56" s="21"/>
      <c r="AA56" s="21"/>
      <c r="AB56" s="21"/>
      <c r="AC56" s="21"/>
      <c r="AD56" s="21"/>
      <c r="AE56" s="21"/>
      <c r="AF56" s="21"/>
      <c r="AG56" s="21"/>
      <c r="AH56" s="21" t="str">
        <f t="shared" si="27"/>
        <v/>
      </c>
      <c r="AI56" s="20"/>
      <c r="AJ56" s="21" t="str">
        <f t="shared" si="28"/>
        <v/>
      </c>
      <c r="AK56" s="26"/>
      <c r="AL56" s="21" t="str">
        <f t="shared" si="29"/>
        <v/>
      </c>
      <c r="AM56" s="21" t="str">
        <f t="shared" si="30"/>
        <v/>
      </c>
      <c r="AN56" s="21" t="str">
        <f t="shared" si="31"/>
        <v/>
      </c>
      <c r="AO56" s="21" t="str">
        <f t="shared" si="32"/>
        <v/>
      </c>
      <c r="AP56" s="21" t="str">
        <f t="shared" si="33"/>
        <v/>
      </c>
      <c r="AQ56" s="21" t="str">
        <f t="shared" si="34"/>
        <v/>
      </c>
      <c r="AR56" s="21"/>
      <c r="AS56" s="27"/>
      <c r="AT56" s="19"/>
    </row>
    <row r="57" spans="2:46" ht="30" hidden="1" customHeight="1" x14ac:dyDescent="0.25">
      <c r="B57" s="34" t="s">
        <v>171</v>
      </c>
      <c r="C57" s="35">
        <v>0</v>
      </c>
      <c r="D57" s="35">
        <v>200000</v>
      </c>
      <c r="E57" s="35">
        <v>2469720200</v>
      </c>
      <c r="F57" s="34" t="s">
        <v>172</v>
      </c>
      <c r="K57" s="4" t="s">
        <v>68</v>
      </c>
      <c r="L57" s="26">
        <f t="shared" si="35"/>
        <v>200000</v>
      </c>
      <c r="M57" s="15" t="str">
        <f t="shared" si="36"/>
        <v>Đúng</v>
      </c>
      <c r="N57" s="21" t="str">
        <f t="shared" si="23"/>
        <v/>
      </c>
      <c r="O57" s="21" t="str">
        <f t="shared" si="24"/>
        <v/>
      </c>
      <c r="P57" s="21"/>
      <c r="Q57" s="18">
        <f t="shared" si="37"/>
        <v>200000</v>
      </c>
      <c r="R57" s="21">
        <f t="shared" si="25"/>
        <v>200000</v>
      </c>
      <c r="S57" s="21"/>
      <c r="T57" s="21"/>
      <c r="U57" s="21" t="str">
        <f t="shared" si="26"/>
        <v/>
      </c>
      <c r="V57" s="21"/>
      <c r="W57" s="21"/>
      <c r="X57" s="21"/>
      <c r="Y57" s="21"/>
      <c r="Z57" s="21"/>
      <c r="AA57" s="21"/>
      <c r="AB57" s="21"/>
      <c r="AC57" s="21"/>
      <c r="AD57" s="21"/>
      <c r="AE57" s="21"/>
      <c r="AF57" s="21"/>
      <c r="AG57" s="21"/>
      <c r="AH57" s="21" t="str">
        <f t="shared" si="27"/>
        <v/>
      </c>
      <c r="AI57" s="20"/>
      <c r="AJ57" s="21" t="str">
        <f t="shared" si="28"/>
        <v/>
      </c>
      <c r="AK57" s="26"/>
      <c r="AL57" s="21" t="str">
        <f t="shared" si="29"/>
        <v/>
      </c>
      <c r="AM57" s="21" t="str">
        <f t="shared" si="30"/>
        <v/>
      </c>
      <c r="AN57" s="21" t="str">
        <f t="shared" si="31"/>
        <v/>
      </c>
      <c r="AO57" s="21" t="str">
        <f t="shared" si="32"/>
        <v/>
      </c>
      <c r="AP57" s="21" t="str">
        <f t="shared" si="33"/>
        <v/>
      </c>
      <c r="AQ57" s="21" t="str">
        <f t="shared" si="34"/>
        <v/>
      </c>
      <c r="AR57" s="21"/>
      <c r="AS57" s="27"/>
      <c r="AT57" s="19"/>
    </row>
    <row r="58" spans="2:46" ht="30" customHeight="1" x14ac:dyDescent="0.25">
      <c r="B58" s="34" t="s">
        <v>173</v>
      </c>
      <c r="C58" s="35">
        <v>0</v>
      </c>
      <c r="D58" s="35">
        <v>9072000</v>
      </c>
      <c r="E58" s="35">
        <v>2478792200</v>
      </c>
      <c r="F58" s="34" t="s">
        <v>174</v>
      </c>
      <c r="K58" s="4" t="s">
        <v>67</v>
      </c>
      <c r="L58" s="26">
        <f t="shared" si="35"/>
        <v>9072000</v>
      </c>
      <c r="M58" s="15" t="str">
        <f t="shared" si="36"/>
        <v>Đúng</v>
      </c>
      <c r="N58" s="21">
        <f t="shared" si="23"/>
        <v>9072000</v>
      </c>
      <c r="O58" s="21" t="str">
        <f t="shared" si="24"/>
        <v/>
      </c>
      <c r="P58" s="21"/>
      <c r="Q58" s="18">
        <f t="shared" si="37"/>
        <v>9072000</v>
      </c>
      <c r="R58" s="21" t="str">
        <f t="shared" si="25"/>
        <v/>
      </c>
      <c r="S58" s="21"/>
      <c r="T58" s="21"/>
      <c r="U58" s="21" t="str">
        <f t="shared" si="26"/>
        <v/>
      </c>
      <c r="V58" s="21"/>
      <c r="W58" s="21"/>
      <c r="X58" s="21"/>
      <c r="Y58" s="21"/>
      <c r="Z58" s="21"/>
      <c r="AA58" s="21"/>
      <c r="AB58" s="21"/>
      <c r="AC58" s="21"/>
      <c r="AD58" s="21"/>
      <c r="AE58" s="21"/>
      <c r="AF58" s="21"/>
      <c r="AG58" s="21"/>
      <c r="AH58" s="21" t="str">
        <f t="shared" si="27"/>
        <v/>
      </c>
      <c r="AI58" s="20"/>
      <c r="AJ58" s="21" t="str">
        <f t="shared" si="28"/>
        <v/>
      </c>
      <c r="AK58" s="26"/>
      <c r="AL58" s="21" t="str">
        <f t="shared" si="29"/>
        <v/>
      </c>
      <c r="AM58" s="21" t="str">
        <f t="shared" si="30"/>
        <v/>
      </c>
      <c r="AN58" s="21" t="str">
        <f t="shared" si="31"/>
        <v/>
      </c>
      <c r="AO58" s="21" t="str">
        <f t="shared" si="32"/>
        <v/>
      </c>
      <c r="AP58" s="21" t="str">
        <f t="shared" si="33"/>
        <v/>
      </c>
      <c r="AQ58" s="21" t="str">
        <f t="shared" si="34"/>
        <v/>
      </c>
      <c r="AR58" s="21"/>
      <c r="AS58" s="27"/>
      <c r="AT58" s="19"/>
    </row>
    <row r="59" spans="2:46" ht="30" customHeight="1" x14ac:dyDescent="0.25">
      <c r="B59" s="34" t="s">
        <v>175</v>
      </c>
      <c r="C59" s="35">
        <v>0</v>
      </c>
      <c r="D59" s="35">
        <v>300000</v>
      </c>
      <c r="E59" s="35">
        <v>2479092200</v>
      </c>
      <c r="F59" s="34" t="s">
        <v>176</v>
      </c>
      <c r="K59" s="4" t="s">
        <v>67</v>
      </c>
      <c r="L59" s="26">
        <f t="shared" si="35"/>
        <v>300000</v>
      </c>
      <c r="M59" s="15" t="str">
        <f t="shared" si="36"/>
        <v>Đúng</v>
      </c>
      <c r="N59" s="21">
        <f t="shared" si="23"/>
        <v>300000</v>
      </c>
      <c r="O59" s="21" t="str">
        <f t="shared" si="24"/>
        <v/>
      </c>
      <c r="P59" s="21"/>
      <c r="Q59" s="18">
        <f t="shared" si="37"/>
        <v>300000</v>
      </c>
      <c r="R59" s="21" t="str">
        <f t="shared" si="25"/>
        <v/>
      </c>
      <c r="S59" s="21"/>
      <c r="T59" s="21"/>
      <c r="U59" s="21" t="str">
        <f t="shared" si="26"/>
        <v/>
      </c>
      <c r="V59" s="21"/>
      <c r="W59" s="21"/>
      <c r="X59" s="21"/>
      <c r="Y59" s="21"/>
      <c r="Z59" s="21"/>
      <c r="AA59" s="21"/>
      <c r="AB59" s="21"/>
      <c r="AC59" s="21"/>
      <c r="AD59" s="21"/>
      <c r="AE59" s="21"/>
      <c r="AF59" s="21"/>
      <c r="AG59" s="21"/>
      <c r="AH59" s="21" t="str">
        <f t="shared" si="27"/>
        <v/>
      </c>
      <c r="AI59" s="20"/>
      <c r="AJ59" s="21" t="str">
        <f t="shared" si="28"/>
        <v/>
      </c>
      <c r="AK59" s="26"/>
      <c r="AL59" s="21" t="str">
        <f t="shared" si="29"/>
        <v/>
      </c>
      <c r="AM59" s="21" t="str">
        <f t="shared" si="30"/>
        <v/>
      </c>
      <c r="AN59" s="21" t="str">
        <f t="shared" si="31"/>
        <v/>
      </c>
      <c r="AO59" s="21" t="str">
        <f t="shared" si="32"/>
        <v/>
      </c>
      <c r="AP59" s="21" t="str">
        <f t="shared" si="33"/>
        <v/>
      </c>
      <c r="AQ59" s="21" t="str">
        <f t="shared" si="34"/>
        <v/>
      </c>
      <c r="AR59" s="21"/>
      <c r="AS59" s="27"/>
      <c r="AT59" s="19"/>
    </row>
    <row r="60" spans="2:46" ht="30" customHeight="1" x14ac:dyDescent="0.25">
      <c r="B60" s="34" t="s">
        <v>177</v>
      </c>
      <c r="C60" s="35">
        <v>0</v>
      </c>
      <c r="D60" s="35">
        <v>3024000</v>
      </c>
      <c r="E60" s="35">
        <v>2482116200</v>
      </c>
      <c r="F60" s="34" t="s">
        <v>178</v>
      </c>
      <c r="K60" s="4" t="s">
        <v>67</v>
      </c>
      <c r="L60" s="26">
        <f t="shared" si="35"/>
        <v>3024000</v>
      </c>
      <c r="M60" s="15" t="str">
        <f t="shared" si="36"/>
        <v>Đúng</v>
      </c>
      <c r="N60" s="21">
        <f t="shared" si="23"/>
        <v>3024000</v>
      </c>
      <c r="O60" s="21" t="str">
        <f t="shared" si="24"/>
        <v/>
      </c>
      <c r="P60" s="21"/>
      <c r="Q60" s="18">
        <f t="shared" si="37"/>
        <v>3024000</v>
      </c>
      <c r="R60" s="21" t="str">
        <f t="shared" si="25"/>
        <v/>
      </c>
      <c r="S60" s="21"/>
      <c r="T60" s="21"/>
      <c r="U60" s="21" t="str">
        <f t="shared" si="26"/>
        <v/>
      </c>
      <c r="V60" s="21"/>
      <c r="W60" s="21"/>
      <c r="X60" s="21"/>
      <c r="Y60" s="21"/>
      <c r="Z60" s="21"/>
      <c r="AA60" s="21"/>
      <c r="AB60" s="21"/>
      <c r="AC60" s="21"/>
      <c r="AD60" s="21"/>
      <c r="AE60" s="21"/>
      <c r="AF60" s="21"/>
      <c r="AG60" s="21"/>
      <c r="AH60" s="21" t="str">
        <f t="shared" si="27"/>
        <v/>
      </c>
      <c r="AI60" s="20"/>
      <c r="AJ60" s="21" t="str">
        <f t="shared" si="28"/>
        <v/>
      </c>
      <c r="AK60" s="26"/>
      <c r="AL60" s="21" t="str">
        <f t="shared" si="29"/>
        <v/>
      </c>
      <c r="AM60" s="21" t="str">
        <f t="shared" si="30"/>
        <v/>
      </c>
      <c r="AN60" s="21" t="str">
        <f t="shared" si="31"/>
        <v/>
      </c>
      <c r="AO60" s="21" t="str">
        <f t="shared" si="32"/>
        <v/>
      </c>
      <c r="AP60" s="21" t="str">
        <f t="shared" si="33"/>
        <v/>
      </c>
      <c r="AQ60" s="21" t="str">
        <f t="shared" si="34"/>
        <v/>
      </c>
      <c r="AR60" s="21"/>
      <c r="AS60" s="27"/>
      <c r="AT60" s="19"/>
    </row>
    <row r="61" spans="2:46" ht="30" customHeight="1" x14ac:dyDescent="0.25">
      <c r="B61" s="34" t="s">
        <v>179</v>
      </c>
      <c r="C61" s="35">
        <v>0</v>
      </c>
      <c r="D61" s="35">
        <v>9280000</v>
      </c>
      <c r="E61" s="35">
        <v>2491396200</v>
      </c>
      <c r="F61" s="34" t="s">
        <v>180</v>
      </c>
      <c r="K61" s="4" t="s">
        <v>67</v>
      </c>
      <c r="L61" s="26">
        <f t="shared" si="35"/>
        <v>9280000</v>
      </c>
      <c r="M61" s="15" t="str">
        <f t="shared" si="36"/>
        <v>Đúng</v>
      </c>
      <c r="N61" s="21">
        <f t="shared" si="23"/>
        <v>9280000</v>
      </c>
      <c r="O61" s="21" t="str">
        <f t="shared" si="24"/>
        <v/>
      </c>
      <c r="P61" s="21"/>
      <c r="Q61" s="18">
        <f t="shared" si="37"/>
        <v>9280000</v>
      </c>
      <c r="R61" s="21" t="str">
        <f t="shared" si="25"/>
        <v/>
      </c>
      <c r="S61" s="21"/>
      <c r="T61" s="21"/>
      <c r="U61" s="21" t="str">
        <f t="shared" si="26"/>
        <v/>
      </c>
      <c r="V61" s="21"/>
      <c r="W61" s="21"/>
      <c r="X61" s="21"/>
      <c r="Y61" s="21"/>
      <c r="Z61" s="21"/>
      <c r="AA61" s="21"/>
      <c r="AB61" s="21"/>
      <c r="AC61" s="21"/>
      <c r="AD61" s="21"/>
      <c r="AE61" s="21"/>
      <c r="AF61" s="21"/>
      <c r="AG61" s="21"/>
      <c r="AH61" s="21" t="str">
        <f t="shared" si="27"/>
        <v/>
      </c>
      <c r="AI61" s="20"/>
      <c r="AJ61" s="21" t="str">
        <f t="shared" si="28"/>
        <v/>
      </c>
      <c r="AK61" s="26"/>
      <c r="AL61" s="21" t="str">
        <f t="shared" si="29"/>
        <v/>
      </c>
      <c r="AM61" s="21" t="str">
        <f t="shared" si="30"/>
        <v/>
      </c>
      <c r="AN61" s="21" t="str">
        <f t="shared" si="31"/>
        <v/>
      </c>
      <c r="AO61" s="21" t="str">
        <f t="shared" si="32"/>
        <v/>
      </c>
      <c r="AP61" s="21" t="str">
        <f t="shared" si="33"/>
        <v/>
      </c>
      <c r="AQ61" s="21" t="str">
        <f t="shared" si="34"/>
        <v/>
      </c>
      <c r="AR61" s="21"/>
      <c r="AS61" s="27"/>
      <c r="AT61" s="19"/>
    </row>
    <row r="62" spans="2:46" ht="30" hidden="1" customHeight="1" x14ac:dyDescent="0.25">
      <c r="B62" s="34" t="s">
        <v>181</v>
      </c>
      <c r="C62" s="35">
        <v>0</v>
      </c>
      <c r="D62" s="35">
        <v>200000</v>
      </c>
      <c r="E62" s="35">
        <v>2491596200</v>
      </c>
      <c r="F62" s="34" t="s">
        <v>182</v>
      </c>
      <c r="K62" s="4" t="s">
        <v>68</v>
      </c>
      <c r="L62" s="26">
        <f t="shared" si="35"/>
        <v>200000</v>
      </c>
      <c r="M62" s="15" t="str">
        <f t="shared" si="36"/>
        <v>Đúng</v>
      </c>
      <c r="N62" s="21" t="str">
        <f t="shared" si="23"/>
        <v/>
      </c>
      <c r="O62" s="21" t="str">
        <f t="shared" si="24"/>
        <v/>
      </c>
      <c r="P62" s="21"/>
      <c r="Q62" s="18">
        <f t="shared" si="37"/>
        <v>200000</v>
      </c>
      <c r="R62" s="21">
        <f t="shared" si="25"/>
        <v>200000</v>
      </c>
      <c r="S62" s="21"/>
      <c r="T62" s="21"/>
      <c r="U62" s="21" t="str">
        <f t="shared" si="26"/>
        <v/>
      </c>
      <c r="V62" s="21"/>
      <c r="W62" s="21"/>
      <c r="X62" s="21"/>
      <c r="Y62" s="21"/>
      <c r="Z62" s="21"/>
      <c r="AA62" s="21"/>
      <c r="AB62" s="21"/>
      <c r="AC62" s="21"/>
      <c r="AD62" s="21"/>
      <c r="AE62" s="21"/>
      <c r="AF62" s="21"/>
      <c r="AG62" s="21"/>
      <c r="AH62" s="21" t="str">
        <f t="shared" si="27"/>
        <v/>
      </c>
      <c r="AI62" s="20"/>
      <c r="AJ62" s="21" t="str">
        <f t="shared" si="28"/>
        <v/>
      </c>
      <c r="AK62" s="26"/>
      <c r="AL62" s="21" t="str">
        <f t="shared" si="29"/>
        <v/>
      </c>
      <c r="AM62" s="21" t="str">
        <f t="shared" si="30"/>
        <v/>
      </c>
      <c r="AN62" s="21" t="str">
        <f t="shared" si="31"/>
        <v/>
      </c>
      <c r="AO62" s="21" t="str">
        <f t="shared" si="32"/>
        <v/>
      </c>
      <c r="AP62" s="21" t="str">
        <f t="shared" si="33"/>
        <v/>
      </c>
      <c r="AQ62" s="21" t="str">
        <f t="shared" si="34"/>
        <v/>
      </c>
      <c r="AR62" s="21"/>
      <c r="AS62" s="27"/>
      <c r="AT62" s="19"/>
    </row>
    <row r="63" spans="2:46" ht="30" hidden="1" customHeight="1" x14ac:dyDescent="0.25">
      <c r="B63" s="34" t="s">
        <v>183</v>
      </c>
      <c r="C63" s="35">
        <v>0</v>
      </c>
      <c r="D63" s="35">
        <v>200000</v>
      </c>
      <c r="E63" s="35">
        <v>2491796200</v>
      </c>
      <c r="F63" s="34" t="s">
        <v>184</v>
      </c>
      <c r="K63" s="4" t="s">
        <v>68</v>
      </c>
      <c r="L63" s="26">
        <f t="shared" si="35"/>
        <v>200000</v>
      </c>
      <c r="M63" s="15" t="str">
        <f t="shared" si="36"/>
        <v>Đúng</v>
      </c>
      <c r="N63" s="21" t="str">
        <f t="shared" si="23"/>
        <v/>
      </c>
      <c r="O63" s="21" t="str">
        <f t="shared" si="24"/>
        <v/>
      </c>
      <c r="P63" s="21"/>
      <c r="Q63" s="18">
        <f t="shared" si="37"/>
        <v>200000</v>
      </c>
      <c r="R63" s="21">
        <f t="shared" si="25"/>
        <v>200000</v>
      </c>
      <c r="S63" s="21"/>
      <c r="T63" s="21"/>
      <c r="U63" s="21" t="str">
        <f t="shared" si="26"/>
        <v/>
      </c>
      <c r="V63" s="21"/>
      <c r="W63" s="21"/>
      <c r="X63" s="21"/>
      <c r="Y63" s="21"/>
      <c r="Z63" s="21"/>
      <c r="AA63" s="21"/>
      <c r="AB63" s="21"/>
      <c r="AC63" s="21"/>
      <c r="AD63" s="21"/>
      <c r="AE63" s="21"/>
      <c r="AF63" s="21"/>
      <c r="AG63" s="21"/>
      <c r="AH63" s="21" t="str">
        <f t="shared" si="27"/>
        <v/>
      </c>
      <c r="AI63" s="20"/>
      <c r="AJ63" s="21" t="str">
        <f t="shared" si="28"/>
        <v/>
      </c>
      <c r="AK63" s="26"/>
      <c r="AL63" s="21" t="str">
        <f t="shared" si="29"/>
        <v/>
      </c>
      <c r="AM63" s="21" t="str">
        <f t="shared" si="30"/>
        <v/>
      </c>
      <c r="AN63" s="21" t="str">
        <f t="shared" si="31"/>
        <v/>
      </c>
      <c r="AO63" s="21" t="str">
        <f t="shared" si="32"/>
        <v/>
      </c>
      <c r="AP63" s="21" t="str">
        <f t="shared" si="33"/>
        <v/>
      </c>
      <c r="AQ63" s="21" t="str">
        <f t="shared" si="34"/>
        <v/>
      </c>
      <c r="AR63" s="21"/>
      <c r="AS63" s="27"/>
      <c r="AT63" s="19"/>
    </row>
    <row r="64" spans="2:46" ht="30" customHeight="1" x14ac:dyDescent="0.25">
      <c r="B64" s="34" t="s">
        <v>185</v>
      </c>
      <c r="C64" s="35">
        <v>0</v>
      </c>
      <c r="D64" s="35">
        <v>9280000</v>
      </c>
      <c r="E64" s="35">
        <v>2501076200</v>
      </c>
      <c r="F64" s="34" t="s">
        <v>186</v>
      </c>
      <c r="K64" s="4" t="s">
        <v>67</v>
      </c>
      <c r="L64" s="26">
        <f t="shared" si="35"/>
        <v>9280000</v>
      </c>
      <c r="M64" s="15" t="str">
        <f t="shared" si="36"/>
        <v>Đúng</v>
      </c>
      <c r="N64" s="21">
        <f t="shared" si="23"/>
        <v>9280000</v>
      </c>
      <c r="O64" s="21" t="str">
        <f t="shared" si="24"/>
        <v/>
      </c>
      <c r="P64" s="21"/>
      <c r="Q64" s="18">
        <f t="shared" si="37"/>
        <v>9280000</v>
      </c>
      <c r="R64" s="21" t="str">
        <f t="shared" si="25"/>
        <v/>
      </c>
      <c r="S64" s="21"/>
      <c r="T64" s="21"/>
      <c r="U64" s="21" t="str">
        <f t="shared" si="26"/>
        <v/>
      </c>
      <c r="V64" s="21"/>
      <c r="W64" s="21"/>
      <c r="X64" s="21"/>
      <c r="Y64" s="21"/>
      <c r="Z64" s="21"/>
      <c r="AA64" s="21"/>
      <c r="AB64" s="21"/>
      <c r="AC64" s="21"/>
      <c r="AD64" s="21"/>
      <c r="AE64" s="21"/>
      <c r="AF64" s="21"/>
      <c r="AG64" s="21"/>
      <c r="AH64" s="21" t="str">
        <f t="shared" si="27"/>
        <v/>
      </c>
      <c r="AI64" s="20"/>
      <c r="AJ64" s="21" t="str">
        <f t="shared" si="28"/>
        <v/>
      </c>
      <c r="AK64" s="26"/>
      <c r="AL64" s="21" t="str">
        <f t="shared" si="29"/>
        <v/>
      </c>
      <c r="AM64" s="21" t="str">
        <f t="shared" si="30"/>
        <v/>
      </c>
      <c r="AN64" s="21" t="str">
        <f t="shared" si="31"/>
        <v/>
      </c>
      <c r="AO64" s="21" t="str">
        <f t="shared" si="32"/>
        <v/>
      </c>
      <c r="AP64" s="21" t="str">
        <f t="shared" si="33"/>
        <v/>
      </c>
      <c r="AQ64" s="21" t="str">
        <f t="shared" si="34"/>
        <v/>
      </c>
      <c r="AR64" s="21"/>
      <c r="AS64" s="27"/>
      <c r="AT64" s="19"/>
    </row>
    <row r="65" spans="2:46" ht="30" customHeight="1" x14ac:dyDescent="0.25">
      <c r="B65" s="34" t="s">
        <v>187</v>
      </c>
      <c r="C65" s="35">
        <v>0</v>
      </c>
      <c r="D65" s="35">
        <v>145152000</v>
      </c>
      <c r="E65" s="35">
        <v>2646428200</v>
      </c>
      <c r="F65" s="34" t="s">
        <v>188</v>
      </c>
      <c r="K65" s="4" t="s">
        <v>189</v>
      </c>
      <c r="L65" s="26">
        <f t="shared" ref="L65" si="38">D65</f>
        <v>145152000</v>
      </c>
      <c r="M65" s="15" t="str">
        <f t="shared" ref="M65" si="39">IF(Q65=L65, "Đúng", "Sai")</f>
        <v>Đúng</v>
      </c>
      <c r="N65" s="21">
        <f t="shared" si="23"/>
        <v>145152000</v>
      </c>
      <c r="O65" s="21" t="str">
        <f t="shared" si="24"/>
        <v/>
      </c>
      <c r="P65" s="21"/>
      <c r="Q65" s="18">
        <f t="shared" ref="Q65" si="40">SUM(R65:AQ65)+SUM(N65:P65)</f>
        <v>145152000</v>
      </c>
      <c r="R65" s="21" t="str">
        <f t="shared" si="25"/>
        <v/>
      </c>
      <c r="S65" s="21"/>
      <c r="T65" s="21"/>
      <c r="U65" s="21" t="str">
        <f t="shared" si="26"/>
        <v/>
      </c>
      <c r="V65" s="21"/>
      <c r="W65" s="21"/>
      <c r="X65" s="21"/>
      <c r="Y65" s="21"/>
      <c r="Z65" s="21"/>
      <c r="AA65" s="21"/>
      <c r="AB65" s="21"/>
      <c r="AC65" s="21"/>
      <c r="AD65" s="21"/>
      <c r="AE65" s="21"/>
      <c r="AF65" s="21"/>
      <c r="AG65" s="21"/>
      <c r="AH65" s="21" t="str">
        <f t="shared" si="27"/>
        <v/>
      </c>
      <c r="AI65" s="20"/>
      <c r="AJ65" s="21" t="str">
        <f t="shared" si="28"/>
        <v/>
      </c>
      <c r="AK65" s="26"/>
      <c r="AL65" s="21" t="str">
        <f t="shared" si="29"/>
        <v/>
      </c>
      <c r="AM65" s="21" t="str">
        <f t="shared" si="30"/>
        <v/>
      </c>
      <c r="AN65" s="21" t="str">
        <f t="shared" si="31"/>
        <v/>
      </c>
      <c r="AO65" s="21" t="str">
        <f t="shared" si="32"/>
        <v/>
      </c>
      <c r="AP65" s="21" t="str">
        <f t="shared" si="33"/>
        <v/>
      </c>
      <c r="AQ65" s="21" t="str">
        <f t="shared" si="34"/>
        <v/>
      </c>
      <c r="AR65" s="21"/>
      <c r="AS65" s="27"/>
      <c r="AT65" s="19"/>
    </row>
    <row r="66" spans="2:46" ht="30" hidden="1" customHeight="1" x14ac:dyDescent="0.25">
      <c r="B66" s="34" t="s">
        <v>190</v>
      </c>
      <c r="C66" s="35">
        <v>0</v>
      </c>
      <c r="D66" s="35">
        <v>200000</v>
      </c>
      <c r="E66" s="35">
        <v>2501276200</v>
      </c>
      <c r="F66" s="34" t="s">
        <v>191</v>
      </c>
      <c r="K66" s="4" t="s">
        <v>68</v>
      </c>
      <c r="L66" s="26">
        <f t="shared" ref="L66:L82" si="41">D66</f>
        <v>200000</v>
      </c>
      <c r="M66" s="15" t="str">
        <f t="shared" ref="M66:M82" si="42">IF(Q66=L66, "Đúng", "Sai")</f>
        <v>Đúng</v>
      </c>
      <c r="N66" s="21" t="str">
        <f t="shared" si="23"/>
        <v/>
      </c>
      <c r="O66" s="21" t="str">
        <f t="shared" si="24"/>
        <v/>
      </c>
      <c r="P66" s="21"/>
      <c r="Q66" s="18">
        <f t="shared" ref="Q66:Q82" si="43">SUM(R66:AQ66)+SUM(N66:P66)</f>
        <v>200000</v>
      </c>
      <c r="R66" s="21">
        <f t="shared" si="25"/>
        <v>200000</v>
      </c>
      <c r="S66" s="21"/>
      <c r="T66" s="21"/>
      <c r="U66" s="21" t="str">
        <f t="shared" si="26"/>
        <v/>
      </c>
      <c r="V66" s="21"/>
      <c r="W66" s="21"/>
      <c r="X66" s="21"/>
      <c r="Y66" s="21"/>
      <c r="Z66" s="21"/>
      <c r="AA66" s="21"/>
      <c r="AB66" s="21"/>
      <c r="AC66" s="21"/>
      <c r="AD66" s="21"/>
      <c r="AE66" s="21"/>
      <c r="AF66" s="21"/>
      <c r="AG66" s="21"/>
      <c r="AH66" s="21" t="str">
        <f t="shared" si="27"/>
        <v/>
      </c>
      <c r="AI66" s="20"/>
      <c r="AJ66" s="21" t="str">
        <f t="shared" si="28"/>
        <v/>
      </c>
      <c r="AK66" s="26"/>
      <c r="AL66" s="21" t="str">
        <f t="shared" si="29"/>
        <v/>
      </c>
      <c r="AM66" s="21" t="str">
        <f t="shared" si="30"/>
        <v/>
      </c>
      <c r="AN66" s="21" t="str">
        <f t="shared" si="31"/>
        <v/>
      </c>
      <c r="AO66" s="21" t="str">
        <f t="shared" si="32"/>
        <v/>
      </c>
      <c r="AP66" s="21" t="str">
        <f t="shared" si="33"/>
        <v/>
      </c>
      <c r="AQ66" s="21" t="str">
        <f t="shared" si="34"/>
        <v/>
      </c>
      <c r="AR66" s="21"/>
      <c r="AS66" s="27"/>
      <c r="AT66" s="19"/>
    </row>
    <row r="67" spans="2:46" ht="30" hidden="1" customHeight="1" x14ac:dyDescent="0.25">
      <c r="B67" s="34" t="s">
        <v>192</v>
      </c>
      <c r="C67" s="35">
        <v>0</v>
      </c>
      <c r="D67" s="35">
        <v>200000</v>
      </c>
      <c r="E67" s="35">
        <v>2646628200</v>
      </c>
      <c r="F67" s="34" t="s">
        <v>193</v>
      </c>
      <c r="K67" s="4" t="s">
        <v>68</v>
      </c>
      <c r="L67" s="26">
        <f t="shared" si="41"/>
        <v>200000</v>
      </c>
      <c r="M67" s="15" t="str">
        <f t="shared" si="42"/>
        <v>Đúng</v>
      </c>
      <c r="N67" s="21" t="str">
        <f t="shared" si="23"/>
        <v/>
      </c>
      <c r="O67" s="21" t="str">
        <f t="shared" si="24"/>
        <v/>
      </c>
      <c r="P67" s="21"/>
      <c r="Q67" s="18">
        <f t="shared" si="43"/>
        <v>200000</v>
      </c>
      <c r="R67" s="21">
        <f t="shared" si="25"/>
        <v>200000</v>
      </c>
      <c r="S67" s="21"/>
      <c r="T67" s="21"/>
      <c r="U67" s="21" t="str">
        <f t="shared" si="26"/>
        <v/>
      </c>
      <c r="V67" s="21"/>
      <c r="W67" s="21"/>
      <c r="X67" s="21"/>
      <c r="Y67" s="21"/>
      <c r="Z67" s="21"/>
      <c r="AA67" s="21"/>
      <c r="AB67" s="21"/>
      <c r="AC67" s="21"/>
      <c r="AD67" s="21"/>
      <c r="AE67" s="21"/>
      <c r="AF67" s="21"/>
      <c r="AG67" s="21"/>
      <c r="AH67" s="21" t="str">
        <f t="shared" si="27"/>
        <v/>
      </c>
      <c r="AI67" s="20"/>
      <c r="AJ67" s="21" t="str">
        <f t="shared" si="28"/>
        <v/>
      </c>
      <c r="AK67" s="26"/>
      <c r="AL67" s="21" t="str">
        <f t="shared" si="29"/>
        <v/>
      </c>
      <c r="AM67" s="21" t="str">
        <f t="shared" si="30"/>
        <v/>
      </c>
      <c r="AN67" s="21" t="str">
        <f t="shared" si="31"/>
        <v/>
      </c>
      <c r="AO67" s="21" t="str">
        <f t="shared" si="32"/>
        <v/>
      </c>
      <c r="AP67" s="21" t="str">
        <f t="shared" si="33"/>
        <v/>
      </c>
      <c r="AQ67" s="21" t="str">
        <f t="shared" si="34"/>
        <v/>
      </c>
      <c r="AR67" s="21"/>
      <c r="AS67" s="27"/>
      <c r="AT67" s="19"/>
    </row>
    <row r="68" spans="2:46" ht="30" hidden="1" customHeight="1" x14ac:dyDescent="0.25">
      <c r="B68" s="34" t="s">
        <v>194</v>
      </c>
      <c r="C68" s="35">
        <v>0</v>
      </c>
      <c r="D68" s="35">
        <v>900000</v>
      </c>
      <c r="E68" s="35">
        <v>2647528200</v>
      </c>
      <c r="F68" s="34" t="s">
        <v>195</v>
      </c>
      <c r="K68" s="4" t="s">
        <v>64</v>
      </c>
      <c r="L68" s="26">
        <f t="shared" si="41"/>
        <v>900000</v>
      </c>
      <c r="M68" s="15" t="str">
        <f t="shared" si="42"/>
        <v>Đúng</v>
      </c>
      <c r="N68" s="21" t="str">
        <f t="shared" si="23"/>
        <v/>
      </c>
      <c r="O68" s="21" t="str">
        <f t="shared" si="24"/>
        <v/>
      </c>
      <c r="P68" s="21"/>
      <c r="Q68" s="18">
        <f t="shared" si="43"/>
        <v>900000</v>
      </c>
      <c r="R68" s="21" t="str">
        <f t="shared" si="25"/>
        <v/>
      </c>
      <c r="S68" s="21"/>
      <c r="T68" s="21"/>
      <c r="U68" s="21" t="str">
        <f t="shared" si="26"/>
        <v/>
      </c>
      <c r="V68" s="21"/>
      <c r="W68" s="21"/>
      <c r="X68" s="21"/>
      <c r="Y68" s="21"/>
      <c r="Z68" s="21"/>
      <c r="AA68" s="21"/>
      <c r="AB68" s="21"/>
      <c r="AC68" s="21"/>
      <c r="AD68" s="21"/>
      <c r="AE68" s="21"/>
      <c r="AF68" s="21"/>
      <c r="AG68" s="21"/>
      <c r="AH68" s="21" t="str">
        <f t="shared" si="27"/>
        <v/>
      </c>
      <c r="AI68" s="20"/>
      <c r="AJ68" s="21" t="str">
        <f t="shared" si="28"/>
        <v/>
      </c>
      <c r="AK68" s="26"/>
      <c r="AL68" s="21" t="str">
        <f t="shared" si="29"/>
        <v/>
      </c>
      <c r="AM68" s="21" t="str">
        <f t="shared" si="30"/>
        <v/>
      </c>
      <c r="AN68" s="21">
        <f t="shared" si="31"/>
        <v>900000</v>
      </c>
      <c r="AO68" s="21" t="str">
        <f t="shared" si="32"/>
        <v/>
      </c>
      <c r="AP68" s="21" t="str">
        <f t="shared" si="33"/>
        <v/>
      </c>
      <c r="AQ68" s="21" t="str">
        <f t="shared" si="34"/>
        <v/>
      </c>
      <c r="AR68" s="21"/>
      <c r="AS68" s="27"/>
      <c r="AT68" s="19"/>
    </row>
    <row r="69" spans="2:46" ht="30" hidden="1" customHeight="1" x14ac:dyDescent="0.25">
      <c r="B69" s="34" t="s">
        <v>196</v>
      </c>
      <c r="C69" s="35">
        <v>0</v>
      </c>
      <c r="D69" s="35">
        <v>540000</v>
      </c>
      <c r="E69" s="35">
        <v>2648068200</v>
      </c>
      <c r="F69" s="34" t="s">
        <v>197</v>
      </c>
      <c r="K69" s="4" t="s">
        <v>64</v>
      </c>
      <c r="L69" s="26">
        <f t="shared" si="41"/>
        <v>540000</v>
      </c>
      <c r="M69" s="15" t="str">
        <f t="shared" si="42"/>
        <v>Đúng</v>
      </c>
      <c r="N69" s="21" t="str">
        <f t="shared" si="23"/>
        <v/>
      </c>
      <c r="O69" s="21" t="str">
        <f t="shared" si="24"/>
        <v/>
      </c>
      <c r="P69" s="21"/>
      <c r="Q69" s="18">
        <f t="shared" si="43"/>
        <v>540000</v>
      </c>
      <c r="R69" s="21" t="str">
        <f t="shared" si="25"/>
        <v/>
      </c>
      <c r="S69" s="21"/>
      <c r="T69" s="21"/>
      <c r="U69" s="21" t="str">
        <f t="shared" si="26"/>
        <v/>
      </c>
      <c r="V69" s="21"/>
      <c r="W69" s="21"/>
      <c r="X69" s="21"/>
      <c r="Y69" s="21"/>
      <c r="Z69" s="21"/>
      <c r="AA69" s="21"/>
      <c r="AB69" s="21"/>
      <c r="AC69" s="21"/>
      <c r="AD69" s="21"/>
      <c r="AE69" s="21"/>
      <c r="AF69" s="21"/>
      <c r="AG69" s="21"/>
      <c r="AH69" s="21" t="str">
        <f t="shared" si="27"/>
        <v/>
      </c>
      <c r="AI69" s="20"/>
      <c r="AJ69" s="21" t="str">
        <f t="shared" si="28"/>
        <v/>
      </c>
      <c r="AK69" s="26"/>
      <c r="AL69" s="21" t="str">
        <f t="shared" si="29"/>
        <v/>
      </c>
      <c r="AM69" s="21" t="str">
        <f t="shared" si="30"/>
        <v/>
      </c>
      <c r="AN69" s="21">
        <f t="shared" si="31"/>
        <v>540000</v>
      </c>
      <c r="AO69" s="21" t="str">
        <f t="shared" si="32"/>
        <v/>
      </c>
      <c r="AP69" s="21" t="str">
        <f t="shared" si="33"/>
        <v/>
      </c>
      <c r="AQ69" s="21" t="str">
        <f t="shared" si="34"/>
        <v/>
      </c>
      <c r="AR69" s="21"/>
      <c r="AS69" s="27"/>
      <c r="AT69" s="19"/>
    </row>
    <row r="70" spans="2:46" ht="30" hidden="1" customHeight="1" x14ac:dyDescent="0.25">
      <c r="B70" s="34" t="s">
        <v>198</v>
      </c>
      <c r="C70" s="35">
        <v>0</v>
      </c>
      <c r="D70" s="35">
        <v>200000</v>
      </c>
      <c r="E70" s="35">
        <v>2648268200</v>
      </c>
      <c r="F70" s="34" t="s">
        <v>199</v>
      </c>
      <c r="K70" s="4" t="s">
        <v>68</v>
      </c>
      <c r="L70" s="26">
        <f t="shared" si="41"/>
        <v>200000</v>
      </c>
      <c r="M70" s="15" t="str">
        <f t="shared" si="42"/>
        <v>Đúng</v>
      </c>
      <c r="N70" s="21" t="str">
        <f t="shared" si="23"/>
        <v/>
      </c>
      <c r="O70" s="21" t="str">
        <f t="shared" si="24"/>
        <v/>
      </c>
      <c r="P70" s="21"/>
      <c r="Q70" s="18">
        <f t="shared" si="43"/>
        <v>200000</v>
      </c>
      <c r="R70" s="21">
        <f t="shared" si="25"/>
        <v>200000</v>
      </c>
      <c r="S70" s="21"/>
      <c r="T70" s="21"/>
      <c r="U70" s="21" t="str">
        <f t="shared" si="26"/>
        <v/>
      </c>
      <c r="V70" s="21"/>
      <c r="W70" s="21"/>
      <c r="X70" s="21"/>
      <c r="Y70" s="21"/>
      <c r="Z70" s="21"/>
      <c r="AA70" s="21"/>
      <c r="AB70" s="21"/>
      <c r="AC70" s="21"/>
      <c r="AD70" s="21"/>
      <c r="AE70" s="21"/>
      <c r="AF70" s="21"/>
      <c r="AG70" s="21"/>
      <c r="AH70" s="21" t="str">
        <f t="shared" si="27"/>
        <v/>
      </c>
      <c r="AI70" s="20"/>
      <c r="AJ70" s="21" t="str">
        <f t="shared" si="28"/>
        <v/>
      </c>
      <c r="AK70" s="26"/>
      <c r="AL70" s="21" t="str">
        <f t="shared" si="29"/>
        <v/>
      </c>
      <c r="AM70" s="21" t="str">
        <f t="shared" si="30"/>
        <v/>
      </c>
      <c r="AN70" s="21" t="str">
        <f t="shared" si="31"/>
        <v/>
      </c>
      <c r="AO70" s="21" t="str">
        <f t="shared" si="32"/>
        <v/>
      </c>
      <c r="AP70" s="21" t="str">
        <f t="shared" si="33"/>
        <v/>
      </c>
      <c r="AQ70" s="21" t="str">
        <f t="shared" si="34"/>
        <v/>
      </c>
      <c r="AR70" s="21"/>
      <c r="AS70" s="27"/>
      <c r="AT70" s="19"/>
    </row>
    <row r="71" spans="2:46" ht="30" customHeight="1" x14ac:dyDescent="0.25">
      <c r="B71" s="34" t="s">
        <v>200</v>
      </c>
      <c r="C71" s="35">
        <v>0</v>
      </c>
      <c r="D71" s="35">
        <v>9280000</v>
      </c>
      <c r="E71" s="35">
        <v>2657548200</v>
      </c>
      <c r="F71" s="34" t="s">
        <v>201</v>
      </c>
      <c r="K71" s="4" t="s">
        <v>67</v>
      </c>
      <c r="L71" s="26">
        <f t="shared" si="41"/>
        <v>9280000</v>
      </c>
      <c r="M71" s="15" t="str">
        <f t="shared" si="42"/>
        <v>Đúng</v>
      </c>
      <c r="N71" s="21">
        <f t="shared" si="23"/>
        <v>9280000</v>
      </c>
      <c r="O71" s="21" t="str">
        <f t="shared" si="24"/>
        <v/>
      </c>
      <c r="P71" s="21"/>
      <c r="Q71" s="18">
        <f t="shared" si="43"/>
        <v>9280000</v>
      </c>
      <c r="R71" s="21" t="str">
        <f t="shared" si="25"/>
        <v/>
      </c>
      <c r="S71" s="21"/>
      <c r="T71" s="21"/>
      <c r="U71" s="21" t="str">
        <f t="shared" si="26"/>
        <v/>
      </c>
      <c r="V71" s="21"/>
      <c r="W71" s="21"/>
      <c r="X71" s="21"/>
      <c r="Y71" s="21"/>
      <c r="Z71" s="21"/>
      <c r="AA71" s="21"/>
      <c r="AB71" s="21"/>
      <c r="AC71" s="21"/>
      <c r="AD71" s="21"/>
      <c r="AE71" s="21"/>
      <c r="AF71" s="21"/>
      <c r="AG71" s="21"/>
      <c r="AH71" s="21" t="str">
        <f t="shared" si="27"/>
        <v/>
      </c>
      <c r="AI71" s="20"/>
      <c r="AJ71" s="21" t="str">
        <f t="shared" si="28"/>
        <v/>
      </c>
      <c r="AK71" s="26"/>
      <c r="AL71" s="21" t="str">
        <f t="shared" si="29"/>
        <v/>
      </c>
      <c r="AM71" s="21" t="str">
        <f t="shared" si="30"/>
        <v/>
      </c>
      <c r="AN71" s="21" t="str">
        <f t="shared" si="31"/>
        <v/>
      </c>
      <c r="AO71" s="21" t="str">
        <f t="shared" si="32"/>
        <v/>
      </c>
      <c r="AP71" s="21" t="str">
        <f t="shared" si="33"/>
        <v/>
      </c>
      <c r="AQ71" s="21" t="str">
        <f t="shared" si="34"/>
        <v/>
      </c>
      <c r="AR71" s="21"/>
      <c r="AS71" s="27"/>
      <c r="AT71" s="19"/>
    </row>
    <row r="72" spans="2:46" ht="30" customHeight="1" x14ac:dyDescent="0.25">
      <c r="B72" s="34" t="s">
        <v>202</v>
      </c>
      <c r="C72" s="35">
        <v>0</v>
      </c>
      <c r="D72" s="35">
        <v>9250000</v>
      </c>
      <c r="E72" s="35">
        <v>2666798200</v>
      </c>
      <c r="F72" s="34" t="s">
        <v>203</v>
      </c>
      <c r="K72" s="4" t="s">
        <v>67</v>
      </c>
      <c r="L72" s="26">
        <f t="shared" si="41"/>
        <v>9250000</v>
      </c>
      <c r="M72" s="15" t="str">
        <f t="shared" si="42"/>
        <v>Đúng</v>
      </c>
      <c r="N72" s="21">
        <f t="shared" si="23"/>
        <v>9250000</v>
      </c>
      <c r="O72" s="21" t="str">
        <f t="shared" si="24"/>
        <v/>
      </c>
      <c r="P72" s="21"/>
      <c r="Q72" s="18">
        <f t="shared" si="43"/>
        <v>9250000</v>
      </c>
      <c r="R72" s="21" t="str">
        <f t="shared" si="25"/>
        <v/>
      </c>
      <c r="S72" s="21"/>
      <c r="T72" s="21"/>
      <c r="U72" s="21" t="str">
        <f t="shared" si="26"/>
        <v/>
      </c>
      <c r="V72" s="21"/>
      <c r="W72" s="21"/>
      <c r="X72" s="21"/>
      <c r="Y72" s="21"/>
      <c r="Z72" s="21"/>
      <c r="AA72" s="21"/>
      <c r="AB72" s="21"/>
      <c r="AC72" s="21"/>
      <c r="AD72" s="21"/>
      <c r="AE72" s="21"/>
      <c r="AF72" s="21"/>
      <c r="AG72" s="21"/>
      <c r="AH72" s="21" t="str">
        <f t="shared" si="27"/>
        <v/>
      </c>
      <c r="AI72" s="20"/>
      <c r="AJ72" s="21" t="str">
        <f t="shared" si="28"/>
        <v/>
      </c>
      <c r="AK72" s="26"/>
      <c r="AL72" s="21" t="str">
        <f t="shared" si="29"/>
        <v/>
      </c>
      <c r="AM72" s="21" t="str">
        <f t="shared" si="30"/>
        <v/>
      </c>
      <c r="AN72" s="21" t="str">
        <f t="shared" si="31"/>
        <v/>
      </c>
      <c r="AO72" s="21" t="str">
        <f t="shared" si="32"/>
        <v/>
      </c>
      <c r="AP72" s="21" t="str">
        <f t="shared" si="33"/>
        <v/>
      </c>
      <c r="AQ72" s="21" t="str">
        <f t="shared" si="34"/>
        <v/>
      </c>
      <c r="AR72" s="21"/>
      <c r="AS72" s="27"/>
      <c r="AT72" s="19"/>
    </row>
    <row r="73" spans="2:46" ht="30" customHeight="1" x14ac:dyDescent="0.25">
      <c r="B73" s="34" t="s">
        <v>204</v>
      </c>
      <c r="C73" s="35">
        <v>0</v>
      </c>
      <c r="D73" s="35">
        <v>3024000</v>
      </c>
      <c r="E73" s="35">
        <v>2669822200</v>
      </c>
      <c r="F73" s="34" t="s">
        <v>205</v>
      </c>
      <c r="K73" s="4" t="s">
        <v>67</v>
      </c>
      <c r="L73" s="26">
        <f t="shared" si="41"/>
        <v>3024000</v>
      </c>
      <c r="M73" s="15" t="str">
        <f t="shared" si="42"/>
        <v>Đúng</v>
      </c>
      <c r="N73" s="21">
        <f t="shared" si="23"/>
        <v>3024000</v>
      </c>
      <c r="O73" s="21" t="str">
        <f t="shared" si="24"/>
        <v/>
      </c>
      <c r="P73" s="21"/>
      <c r="Q73" s="18">
        <f t="shared" si="43"/>
        <v>3024000</v>
      </c>
      <c r="R73" s="21" t="str">
        <f t="shared" si="25"/>
        <v/>
      </c>
      <c r="S73" s="21"/>
      <c r="T73" s="21"/>
      <c r="U73" s="21" t="str">
        <f t="shared" si="26"/>
        <v/>
      </c>
      <c r="V73" s="21"/>
      <c r="W73" s="21"/>
      <c r="X73" s="21"/>
      <c r="Y73" s="21"/>
      <c r="Z73" s="21"/>
      <c r="AA73" s="21"/>
      <c r="AB73" s="21"/>
      <c r="AC73" s="21"/>
      <c r="AD73" s="21"/>
      <c r="AE73" s="21"/>
      <c r="AF73" s="21"/>
      <c r="AG73" s="21"/>
      <c r="AH73" s="21" t="str">
        <f t="shared" si="27"/>
        <v/>
      </c>
      <c r="AI73" s="20"/>
      <c r="AJ73" s="21" t="str">
        <f t="shared" si="28"/>
        <v/>
      </c>
      <c r="AK73" s="26"/>
      <c r="AL73" s="21" t="str">
        <f t="shared" si="29"/>
        <v/>
      </c>
      <c r="AM73" s="21" t="str">
        <f t="shared" si="30"/>
        <v/>
      </c>
      <c r="AN73" s="21" t="str">
        <f t="shared" si="31"/>
        <v/>
      </c>
      <c r="AO73" s="21" t="str">
        <f t="shared" si="32"/>
        <v/>
      </c>
      <c r="AP73" s="21" t="str">
        <f t="shared" si="33"/>
        <v/>
      </c>
      <c r="AQ73" s="21" t="str">
        <f t="shared" si="34"/>
        <v/>
      </c>
      <c r="AR73" s="21"/>
      <c r="AS73" s="27"/>
      <c r="AT73" s="19"/>
    </row>
    <row r="74" spans="2:46" ht="30" customHeight="1" x14ac:dyDescent="0.25">
      <c r="B74" s="34" t="s">
        <v>206</v>
      </c>
      <c r="C74" s="35">
        <v>0</v>
      </c>
      <c r="D74" s="35">
        <v>3024000</v>
      </c>
      <c r="E74" s="35">
        <v>2672846200</v>
      </c>
      <c r="F74" s="34" t="s">
        <v>207</v>
      </c>
      <c r="K74" s="4" t="s">
        <v>67</v>
      </c>
      <c r="L74" s="26">
        <f t="shared" si="41"/>
        <v>3024000</v>
      </c>
      <c r="M74" s="15" t="str">
        <f t="shared" si="42"/>
        <v>Đúng</v>
      </c>
      <c r="N74" s="21">
        <f t="shared" si="23"/>
        <v>3024000</v>
      </c>
      <c r="O74" s="21" t="str">
        <f t="shared" si="24"/>
        <v/>
      </c>
      <c r="P74" s="21"/>
      <c r="Q74" s="18">
        <f t="shared" si="43"/>
        <v>3024000</v>
      </c>
      <c r="R74" s="21" t="str">
        <f t="shared" si="25"/>
        <v/>
      </c>
      <c r="S74" s="21"/>
      <c r="T74" s="21"/>
      <c r="U74" s="21" t="str">
        <f t="shared" si="26"/>
        <v/>
      </c>
      <c r="V74" s="21"/>
      <c r="W74" s="21"/>
      <c r="X74" s="21"/>
      <c r="Y74" s="21"/>
      <c r="Z74" s="21"/>
      <c r="AA74" s="21"/>
      <c r="AB74" s="21"/>
      <c r="AC74" s="21"/>
      <c r="AD74" s="21"/>
      <c r="AE74" s="21"/>
      <c r="AF74" s="21"/>
      <c r="AG74" s="21"/>
      <c r="AH74" s="21" t="str">
        <f t="shared" si="27"/>
        <v/>
      </c>
      <c r="AI74" s="20"/>
      <c r="AJ74" s="21" t="str">
        <f t="shared" si="28"/>
        <v/>
      </c>
      <c r="AK74" s="26"/>
      <c r="AL74" s="21" t="str">
        <f t="shared" si="29"/>
        <v/>
      </c>
      <c r="AM74" s="21" t="str">
        <f t="shared" si="30"/>
        <v/>
      </c>
      <c r="AN74" s="21" t="str">
        <f t="shared" si="31"/>
        <v/>
      </c>
      <c r="AO74" s="21" t="str">
        <f t="shared" si="32"/>
        <v/>
      </c>
      <c r="AP74" s="21" t="str">
        <f t="shared" si="33"/>
        <v/>
      </c>
      <c r="AQ74" s="21" t="str">
        <f t="shared" si="34"/>
        <v/>
      </c>
      <c r="AR74" s="21"/>
      <c r="AS74" s="27"/>
      <c r="AT74" s="19"/>
    </row>
    <row r="75" spans="2:46" ht="30" hidden="1" customHeight="1" x14ac:dyDescent="0.25">
      <c r="B75" s="34" t="s">
        <v>208</v>
      </c>
      <c r="C75" s="35">
        <v>0</v>
      </c>
      <c r="D75" s="35">
        <v>200000</v>
      </c>
      <c r="E75" s="35">
        <v>2673046200</v>
      </c>
      <c r="F75" s="34" t="s">
        <v>209</v>
      </c>
      <c r="K75" s="4" t="s">
        <v>68</v>
      </c>
      <c r="L75" s="26">
        <f t="shared" si="41"/>
        <v>200000</v>
      </c>
      <c r="M75" s="15" t="str">
        <f t="shared" si="42"/>
        <v>Đúng</v>
      </c>
      <c r="N75" s="21" t="str">
        <f t="shared" si="23"/>
        <v/>
      </c>
      <c r="O75" s="21" t="str">
        <f t="shared" si="24"/>
        <v/>
      </c>
      <c r="P75" s="21"/>
      <c r="Q75" s="18">
        <f t="shared" si="43"/>
        <v>200000</v>
      </c>
      <c r="R75" s="21">
        <f t="shared" si="25"/>
        <v>200000</v>
      </c>
      <c r="S75" s="21"/>
      <c r="T75" s="21"/>
      <c r="U75" s="21" t="str">
        <f t="shared" si="26"/>
        <v/>
      </c>
      <c r="V75" s="21"/>
      <c r="W75" s="21"/>
      <c r="X75" s="21"/>
      <c r="Y75" s="21"/>
      <c r="Z75" s="21"/>
      <c r="AA75" s="21"/>
      <c r="AB75" s="21"/>
      <c r="AC75" s="21"/>
      <c r="AD75" s="21"/>
      <c r="AE75" s="21"/>
      <c r="AF75" s="21"/>
      <c r="AG75" s="21"/>
      <c r="AH75" s="21" t="str">
        <f t="shared" si="27"/>
        <v/>
      </c>
      <c r="AI75" s="20"/>
      <c r="AJ75" s="21" t="str">
        <f t="shared" si="28"/>
        <v/>
      </c>
      <c r="AK75" s="26"/>
      <c r="AL75" s="21" t="str">
        <f t="shared" si="29"/>
        <v/>
      </c>
      <c r="AM75" s="21" t="str">
        <f t="shared" si="30"/>
        <v/>
      </c>
      <c r="AN75" s="21" t="str">
        <f t="shared" si="31"/>
        <v/>
      </c>
      <c r="AO75" s="21" t="str">
        <f t="shared" si="32"/>
        <v/>
      </c>
      <c r="AP75" s="21" t="str">
        <f t="shared" si="33"/>
        <v/>
      </c>
      <c r="AQ75" s="21" t="str">
        <f t="shared" si="34"/>
        <v/>
      </c>
      <c r="AR75" s="21"/>
      <c r="AS75" s="27"/>
      <c r="AT75" s="19"/>
    </row>
    <row r="76" spans="2:46" ht="30" hidden="1" customHeight="1" x14ac:dyDescent="0.25">
      <c r="B76" s="34" t="s">
        <v>210</v>
      </c>
      <c r="C76" s="35">
        <v>0</v>
      </c>
      <c r="D76" s="35">
        <v>200000</v>
      </c>
      <c r="E76" s="35">
        <v>2673246200</v>
      </c>
      <c r="F76" s="34" t="s">
        <v>211</v>
      </c>
      <c r="K76" s="4" t="s">
        <v>68</v>
      </c>
      <c r="L76" s="26">
        <f t="shared" si="41"/>
        <v>200000</v>
      </c>
      <c r="M76" s="15" t="str">
        <f t="shared" si="42"/>
        <v>Đúng</v>
      </c>
      <c r="N76" s="21" t="str">
        <f t="shared" si="23"/>
        <v/>
      </c>
      <c r="O76" s="21" t="str">
        <f t="shared" si="24"/>
        <v/>
      </c>
      <c r="P76" s="21"/>
      <c r="Q76" s="18">
        <f t="shared" si="43"/>
        <v>200000</v>
      </c>
      <c r="R76" s="21">
        <f t="shared" si="25"/>
        <v>200000</v>
      </c>
      <c r="S76" s="21"/>
      <c r="T76" s="21"/>
      <c r="U76" s="21" t="str">
        <f t="shared" si="26"/>
        <v/>
      </c>
      <c r="V76" s="21"/>
      <c r="W76" s="21"/>
      <c r="X76" s="21"/>
      <c r="Y76" s="21"/>
      <c r="Z76" s="21"/>
      <c r="AA76" s="21"/>
      <c r="AB76" s="21"/>
      <c r="AC76" s="21"/>
      <c r="AD76" s="21"/>
      <c r="AE76" s="21"/>
      <c r="AF76" s="21"/>
      <c r="AG76" s="21"/>
      <c r="AH76" s="21" t="str">
        <f t="shared" si="27"/>
        <v/>
      </c>
      <c r="AI76" s="20"/>
      <c r="AJ76" s="21" t="str">
        <f t="shared" si="28"/>
        <v/>
      </c>
      <c r="AK76" s="26"/>
      <c r="AL76" s="21" t="str">
        <f t="shared" si="29"/>
        <v/>
      </c>
      <c r="AM76" s="21" t="str">
        <f t="shared" si="30"/>
        <v/>
      </c>
      <c r="AN76" s="21" t="str">
        <f t="shared" si="31"/>
        <v/>
      </c>
      <c r="AO76" s="21" t="str">
        <f t="shared" si="32"/>
        <v/>
      </c>
      <c r="AP76" s="21" t="str">
        <f t="shared" si="33"/>
        <v/>
      </c>
      <c r="AQ76" s="21" t="str">
        <f t="shared" si="34"/>
        <v/>
      </c>
      <c r="AR76" s="21"/>
      <c r="AS76" s="27"/>
      <c r="AT76" s="19"/>
    </row>
    <row r="77" spans="2:46" ht="30" hidden="1" customHeight="1" x14ac:dyDescent="0.25">
      <c r="B77" s="34" t="s">
        <v>212</v>
      </c>
      <c r="C77" s="35">
        <v>0</v>
      </c>
      <c r="D77" s="35">
        <v>200000</v>
      </c>
      <c r="E77" s="35">
        <v>2673446200</v>
      </c>
      <c r="F77" s="34" t="s">
        <v>213</v>
      </c>
      <c r="K77" s="4" t="s">
        <v>68</v>
      </c>
      <c r="L77" s="26">
        <f t="shared" si="41"/>
        <v>200000</v>
      </c>
      <c r="M77" s="15" t="str">
        <f t="shared" si="42"/>
        <v>Đúng</v>
      </c>
      <c r="N77" s="21" t="str">
        <f t="shared" si="23"/>
        <v/>
      </c>
      <c r="O77" s="21" t="str">
        <f t="shared" si="24"/>
        <v/>
      </c>
      <c r="P77" s="21"/>
      <c r="Q77" s="18">
        <f t="shared" si="43"/>
        <v>200000</v>
      </c>
      <c r="R77" s="21">
        <f t="shared" si="25"/>
        <v>200000</v>
      </c>
      <c r="S77" s="21"/>
      <c r="T77" s="21"/>
      <c r="U77" s="21" t="str">
        <f t="shared" si="26"/>
        <v/>
      </c>
      <c r="V77" s="21"/>
      <c r="W77" s="21"/>
      <c r="X77" s="21"/>
      <c r="Y77" s="21"/>
      <c r="Z77" s="21"/>
      <c r="AA77" s="21"/>
      <c r="AB77" s="21"/>
      <c r="AC77" s="21"/>
      <c r="AD77" s="21"/>
      <c r="AE77" s="21"/>
      <c r="AF77" s="21"/>
      <c r="AG77" s="21"/>
      <c r="AH77" s="21" t="str">
        <f t="shared" si="27"/>
        <v/>
      </c>
      <c r="AI77" s="20"/>
      <c r="AJ77" s="21" t="str">
        <f t="shared" si="28"/>
        <v/>
      </c>
      <c r="AK77" s="26"/>
      <c r="AL77" s="21" t="str">
        <f t="shared" si="29"/>
        <v/>
      </c>
      <c r="AM77" s="21" t="str">
        <f t="shared" si="30"/>
        <v/>
      </c>
      <c r="AN77" s="21" t="str">
        <f t="shared" si="31"/>
        <v/>
      </c>
      <c r="AO77" s="21" t="str">
        <f t="shared" si="32"/>
        <v/>
      </c>
      <c r="AP77" s="21" t="str">
        <f t="shared" si="33"/>
        <v/>
      </c>
      <c r="AQ77" s="21" t="str">
        <f t="shared" si="34"/>
        <v/>
      </c>
      <c r="AR77" s="21"/>
      <c r="AS77" s="27"/>
      <c r="AT77" s="19"/>
    </row>
    <row r="78" spans="2:46" ht="30" hidden="1" customHeight="1" x14ac:dyDescent="0.25">
      <c r="B78" s="34" t="s">
        <v>214</v>
      </c>
      <c r="C78" s="35">
        <v>0</v>
      </c>
      <c r="D78" s="35">
        <v>200000</v>
      </c>
      <c r="E78" s="35">
        <v>2673646200</v>
      </c>
      <c r="F78" s="34" t="s">
        <v>215</v>
      </c>
      <c r="K78" s="4" t="s">
        <v>68</v>
      </c>
      <c r="L78" s="26">
        <f t="shared" si="41"/>
        <v>200000</v>
      </c>
      <c r="M78" s="15" t="str">
        <f t="shared" si="42"/>
        <v>Đúng</v>
      </c>
      <c r="N78" s="21" t="str">
        <f t="shared" si="23"/>
        <v/>
      </c>
      <c r="O78" s="21" t="str">
        <f t="shared" si="24"/>
        <v/>
      </c>
      <c r="P78" s="21"/>
      <c r="Q78" s="18">
        <f t="shared" si="43"/>
        <v>200000</v>
      </c>
      <c r="R78" s="21">
        <f t="shared" si="25"/>
        <v>200000</v>
      </c>
      <c r="S78" s="21"/>
      <c r="T78" s="21"/>
      <c r="U78" s="21" t="str">
        <f t="shared" si="26"/>
        <v/>
      </c>
      <c r="V78" s="21"/>
      <c r="W78" s="21"/>
      <c r="X78" s="21"/>
      <c r="Y78" s="21"/>
      <c r="Z78" s="21"/>
      <c r="AA78" s="21"/>
      <c r="AB78" s="21"/>
      <c r="AC78" s="21"/>
      <c r="AD78" s="21"/>
      <c r="AE78" s="21"/>
      <c r="AF78" s="21"/>
      <c r="AG78" s="21"/>
      <c r="AH78" s="21" t="str">
        <f t="shared" si="27"/>
        <v/>
      </c>
      <c r="AI78" s="20"/>
      <c r="AJ78" s="21" t="str">
        <f t="shared" si="28"/>
        <v/>
      </c>
      <c r="AK78" s="26"/>
      <c r="AL78" s="21" t="str">
        <f t="shared" si="29"/>
        <v/>
      </c>
      <c r="AM78" s="21" t="str">
        <f t="shared" si="30"/>
        <v/>
      </c>
      <c r="AN78" s="21" t="str">
        <f t="shared" si="31"/>
        <v/>
      </c>
      <c r="AO78" s="21" t="str">
        <f t="shared" si="32"/>
        <v/>
      </c>
      <c r="AP78" s="21" t="str">
        <f t="shared" si="33"/>
        <v/>
      </c>
      <c r="AQ78" s="21" t="str">
        <f t="shared" si="34"/>
        <v/>
      </c>
      <c r="AR78" s="21"/>
      <c r="AS78" s="27"/>
      <c r="AT78" s="19"/>
    </row>
    <row r="79" spans="2:46" ht="30" hidden="1" customHeight="1" x14ac:dyDescent="0.25">
      <c r="B79" s="34" t="s">
        <v>216</v>
      </c>
      <c r="C79" s="35">
        <v>0</v>
      </c>
      <c r="D79" s="35">
        <v>200000</v>
      </c>
      <c r="E79" s="35">
        <v>2673846200</v>
      </c>
      <c r="F79" s="34" t="s">
        <v>217</v>
      </c>
      <c r="K79" s="4" t="s">
        <v>68</v>
      </c>
      <c r="L79" s="26">
        <f t="shared" si="41"/>
        <v>200000</v>
      </c>
      <c r="M79" s="15" t="str">
        <f t="shared" si="42"/>
        <v>Đúng</v>
      </c>
      <c r="N79" s="21" t="str">
        <f t="shared" si="23"/>
        <v/>
      </c>
      <c r="O79" s="21" t="str">
        <f t="shared" si="24"/>
        <v/>
      </c>
      <c r="P79" s="21"/>
      <c r="Q79" s="18">
        <f t="shared" si="43"/>
        <v>200000</v>
      </c>
      <c r="R79" s="21">
        <f t="shared" si="25"/>
        <v>200000</v>
      </c>
      <c r="S79" s="21"/>
      <c r="T79" s="21"/>
      <c r="U79" s="21" t="str">
        <f t="shared" si="26"/>
        <v/>
      </c>
      <c r="V79" s="21"/>
      <c r="W79" s="21"/>
      <c r="X79" s="21"/>
      <c r="Y79" s="21"/>
      <c r="Z79" s="21"/>
      <c r="AA79" s="21"/>
      <c r="AB79" s="21"/>
      <c r="AC79" s="21"/>
      <c r="AD79" s="21"/>
      <c r="AE79" s="21"/>
      <c r="AF79" s="21"/>
      <c r="AG79" s="21"/>
      <c r="AH79" s="21" t="str">
        <f t="shared" si="27"/>
        <v/>
      </c>
      <c r="AI79" s="20"/>
      <c r="AJ79" s="21" t="str">
        <f t="shared" si="28"/>
        <v/>
      </c>
      <c r="AK79" s="26"/>
      <c r="AL79" s="21" t="str">
        <f t="shared" si="29"/>
        <v/>
      </c>
      <c r="AM79" s="21" t="str">
        <f t="shared" si="30"/>
        <v/>
      </c>
      <c r="AN79" s="21" t="str">
        <f t="shared" si="31"/>
        <v/>
      </c>
      <c r="AO79" s="21" t="str">
        <f t="shared" si="32"/>
        <v/>
      </c>
      <c r="AP79" s="21" t="str">
        <f t="shared" si="33"/>
        <v/>
      </c>
      <c r="AQ79" s="21" t="str">
        <f t="shared" si="34"/>
        <v/>
      </c>
      <c r="AR79" s="21"/>
      <c r="AS79" s="27"/>
      <c r="AT79" s="19"/>
    </row>
    <row r="80" spans="2:46" ht="30" hidden="1" customHeight="1" x14ac:dyDescent="0.25">
      <c r="B80" s="34" t="s">
        <v>218</v>
      </c>
      <c r="C80" s="35">
        <v>0</v>
      </c>
      <c r="D80" s="35">
        <v>50000</v>
      </c>
      <c r="E80" s="35">
        <v>2673896200</v>
      </c>
      <c r="F80" s="34" t="s">
        <v>219</v>
      </c>
      <c r="K80" s="4" t="s">
        <v>64</v>
      </c>
      <c r="L80" s="26">
        <f t="shared" si="41"/>
        <v>50000</v>
      </c>
      <c r="M80" s="15" t="str">
        <f t="shared" si="42"/>
        <v>Đúng</v>
      </c>
      <c r="N80" s="21" t="str">
        <f t="shared" si="23"/>
        <v/>
      </c>
      <c r="O80" s="21" t="str">
        <f t="shared" si="24"/>
        <v/>
      </c>
      <c r="P80" s="21"/>
      <c r="Q80" s="18">
        <f t="shared" si="43"/>
        <v>50000</v>
      </c>
      <c r="R80" s="21" t="str">
        <f t="shared" si="25"/>
        <v/>
      </c>
      <c r="S80" s="21"/>
      <c r="T80" s="21"/>
      <c r="U80" s="21" t="str">
        <f t="shared" si="26"/>
        <v/>
      </c>
      <c r="V80" s="21"/>
      <c r="W80" s="21"/>
      <c r="X80" s="21"/>
      <c r="Y80" s="21"/>
      <c r="Z80" s="21"/>
      <c r="AA80" s="21"/>
      <c r="AB80" s="21"/>
      <c r="AC80" s="21"/>
      <c r="AD80" s="21"/>
      <c r="AE80" s="21"/>
      <c r="AF80" s="21"/>
      <c r="AG80" s="21"/>
      <c r="AH80" s="21" t="str">
        <f t="shared" si="27"/>
        <v/>
      </c>
      <c r="AI80" s="20"/>
      <c r="AJ80" s="21" t="str">
        <f t="shared" si="28"/>
        <v/>
      </c>
      <c r="AK80" s="26"/>
      <c r="AL80" s="21" t="str">
        <f t="shared" si="29"/>
        <v/>
      </c>
      <c r="AM80" s="21" t="str">
        <f t="shared" si="30"/>
        <v/>
      </c>
      <c r="AN80" s="21">
        <f t="shared" si="31"/>
        <v>50000</v>
      </c>
      <c r="AO80" s="21" t="str">
        <f t="shared" si="32"/>
        <v/>
      </c>
      <c r="AP80" s="21" t="str">
        <f t="shared" si="33"/>
        <v/>
      </c>
      <c r="AQ80" s="21" t="str">
        <f t="shared" si="34"/>
        <v/>
      </c>
      <c r="AR80" s="21"/>
      <c r="AS80" s="27"/>
      <c r="AT80" s="19"/>
    </row>
    <row r="81" spans="2:46" ht="30" hidden="1" customHeight="1" x14ac:dyDescent="0.25">
      <c r="B81" s="34" t="s">
        <v>220</v>
      </c>
      <c r="C81" s="35">
        <v>0</v>
      </c>
      <c r="D81" s="35">
        <v>1080000</v>
      </c>
      <c r="E81" s="35">
        <v>2674976200</v>
      </c>
      <c r="F81" s="34" t="s">
        <v>221</v>
      </c>
      <c r="K81" s="4" t="s">
        <v>64</v>
      </c>
      <c r="L81" s="26">
        <f t="shared" si="41"/>
        <v>1080000</v>
      </c>
      <c r="M81" s="15" t="str">
        <f t="shared" si="42"/>
        <v>Đúng</v>
      </c>
      <c r="N81" s="21" t="str">
        <f t="shared" si="23"/>
        <v/>
      </c>
      <c r="O81" s="21" t="str">
        <f t="shared" si="24"/>
        <v/>
      </c>
      <c r="P81" s="21"/>
      <c r="Q81" s="18">
        <f t="shared" si="43"/>
        <v>1080000</v>
      </c>
      <c r="R81" s="21" t="str">
        <f t="shared" si="25"/>
        <v/>
      </c>
      <c r="S81" s="21"/>
      <c r="T81" s="21"/>
      <c r="U81" s="21" t="str">
        <f t="shared" si="26"/>
        <v/>
      </c>
      <c r="V81" s="21"/>
      <c r="W81" s="21"/>
      <c r="X81" s="21"/>
      <c r="Y81" s="21"/>
      <c r="Z81" s="21"/>
      <c r="AA81" s="21"/>
      <c r="AB81" s="21"/>
      <c r="AC81" s="21"/>
      <c r="AD81" s="21"/>
      <c r="AE81" s="21"/>
      <c r="AF81" s="21"/>
      <c r="AG81" s="21"/>
      <c r="AH81" s="21" t="str">
        <f t="shared" si="27"/>
        <v/>
      </c>
      <c r="AI81" s="20"/>
      <c r="AJ81" s="21" t="str">
        <f t="shared" si="28"/>
        <v/>
      </c>
      <c r="AK81" s="26"/>
      <c r="AL81" s="21" t="str">
        <f t="shared" si="29"/>
        <v/>
      </c>
      <c r="AM81" s="21" t="str">
        <f t="shared" si="30"/>
        <v/>
      </c>
      <c r="AN81" s="21">
        <f t="shared" si="31"/>
        <v>1080000</v>
      </c>
      <c r="AO81" s="21" t="str">
        <f t="shared" si="32"/>
        <v/>
      </c>
      <c r="AP81" s="21" t="str">
        <f t="shared" si="33"/>
        <v/>
      </c>
      <c r="AQ81" s="21" t="str">
        <f t="shared" si="34"/>
        <v/>
      </c>
      <c r="AR81" s="21"/>
      <c r="AS81" s="27"/>
      <c r="AT81" s="19"/>
    </row>
    <row r="82" spans="2:46" ht="30" hidden="1" customHeight="1" x14ac:dyDescent="0.25">
      <c r="B82" s="34" t="s">
        <v>222</v>
      </c>
      <c r="C82" s="35">
        <v>0</v>
      </c>
      <c r="D82" s="35">
        <v>900000</v>
      </c>
      <c r="E82" s="35">
        <v>2675876200</v>
      </c>
      <c r="F82" s="34" t="s">
        <v>223</v>
      </c>
      <c r="K82" s="4" t="s">
        <v>64</v>
      </c>
      <c r="L82" s="26">
        <f t="shared" si="41"/>
        <v>900000</v>
      </c>
      <c r="M82" s="15" t="str">
        <f t="shared" si="42"/>
        <v>Đúng</v>
      </c>
      <c r="N82" s="21" t="str">
        <f t="shared" si="23"/>
        <v/>
      </c>
      <c r="O82" s="21" t="str">
        <f t="shared" si="24"/>
        <v/>
      </c>
      <c r="P82" s="21"/>
      <c r="Q82" s="18">
        <f t="shared" si="43"/>
        <v>900000</v>
      </c>
      <c r="R82" s="21" t="str">
        <f t="shared" si="25"/>
        <v/>
      </c>
      <c r="S82" s="21"/>
      <c r="T82" s="21"/>
      <c r="U82" s="21" t="str">
        <f t="shared" si="26"/>
        <v/>
      </c>
      <c r="V82" s="21"/>
      <c r="W82" s="21"/>
      <c r="X82" s="21"/>
      <c r="Y82" s="21"/>
      <c r="Z82" s="21"/>
      <c r="AA82" s="21"/>
      <c r="AB82" s="21"/>
      <c r="AC82" s="21"/>
      <c r="AD82" s="21"/>
      <c r="AE82" s="21"/>
      <c r="AF82" s="21"/>
      <c r="AG82" s="21"/>
      <c r="AH82" s="21" t="str">
        <f t="shared" si="27"/>
        <v/>
      </c>
      <c r="AI82" s="20"/>
      <c r="AJ82" s="21" t="str">
        <f t="shared" si="28"/>
        <v/>
      </c>
      <c r="AK82" s="26"/>
      <c r="AL82" s="21" t="str">
        <f t="shared" si="29"/>
        <v/>
      </c>
      <c r="AM82" s="21" t="str">
        <f t="shared" si="30"/>
        <v/>
      </c>
      <c r="AN82" s="21">
        <f t="shared" si="31"/>
        <v>900000</v>
      </c>
      <c r="AO82" s="21" t="str">
        <f t="shared" si="32"/>
        <v/>
      </c>
      <c r="AP82" s="21" t="str">
        <f t="shared" si="33"/>
        <v/>
      </c>
      <c r="AQ82" s="21" t="str">
        <f t="shared" si="34"/>
        <v/>
      </c>
      <c r="AR82" s="21"/>
      <c r="AS82" s="27"/>
      <c r="AT82" s="19"/>
    </row>
    <row r="83" spans="2:46" ht="30" customHeight="1" x14ac:dyDescent="0.25">
      <c r="B83" s="34" t="s">
        <v>224</v>
      </c>
      <c r="C83" s="35">
        <v>0</v>
      </c>
      <c r="D83" s="35">
        <v>9250000</v>
      </c>
      <c r="E83" s="35">
        <v>2685126200</v>
      </c>
      <c r="F83" s="34" t="s">
        <v>225</v>
      </c>
      <c r="K83" s="4" t="s">
        <v>67</v>
      </c>
      <c r="L83" s="26">
        <f t="shared" ref="L83:L87" si="44">D83</f>
        <v>9250000</v>
      </c>
      <c r="M83" s="15" t="str">
        <f t="shared" ref="M83:M87" si="45">IF(Q83=L83, "Đúng", "Sai")</f>
        <v>Đúng</v>
      </c>
      <c r="N83" s="21">
        <f t="shared" si="23"/>
        <v>9250000</v>
      </c>
      <c r="O83" s="21" t="str">
        <f t="shared" si="24"/>
        <v/>
      </c>
      <c r="P83" s="21"/>
      <c r="Q83" s="18">
        <f t="shared" ref="Q83:Q87" si="46">SUM(R83:AQ83)+SUM(N83:P83)</f>
        <v>9250000</v>
      </c>
      <c r="R83" s="21" t="str">
        <f t="shared" si="25"/>
        <v/>
      </c>
      <c r="S83" s="21"/>
      <c r="T83" s="21"/>
      <c r="U83" s="21" t="str">
        <f t="shared" si="26"/>
        <v/>
      </c>
      <c r="V83" s="21"/>
      <c r="W83" s="21"/>
      <c r="X83" s="21"/>
      <c r="Y83" s="21"/>
      <c r="Z83" s="21"/>
      <c r="AA83" s="21"/>
      <c r="AB83" s="21"/>
      <c r="AC83" s="21"/>
      <c r="AD83" s="21"/>
      <c r="AE83" s="21"/>
      <c r="AF83" s="21"/>
      <c r="AG83" s="21"/>
      <c r="AH83" s="21" t="str">
        <f t="shared" si="27"/>
        <v/>
      </c>
      <c r="AI83" s="20"/>
      <c r="AJ83" s="21" t="str">
        <f t="shared" si="28"/>
        <v/>
      </c>
      <c r="AK83" s="26"/>
      <c r="AL83" s="21" t="str">
        <f t="shared" si="29"/>
        <v/>
      </c>
      <c r="AM83" s="21" t="str">
        <f t="shared" si="30"/>
        <v/>
      </c>
      <c r="AN83" s="21" t="str">
        <f t="shared" si="31"/>
        <v/>
      </c>
      <c r="AO83" s="21" t="str">
        <f t="shared" si="32"/>
        <v/>
      </c>
      <c r="AP83" s="21" t="str">
        <f t="shared" si="33"/>
        <v/>
      </c>
      <c r="AQ83" s="21" t="str">
        <f t="shared" si="34"/>
        <v/>
      </c>
      <c r="AR83" s="21"/>
      <c r="AS83" s="27"/>
      <c r="AT83" s="19"/>
    </row>
    <row r="84" spans="2:46" ht="30" hidden="1" customHeight="1" x14ac:dyDescent="0.25">
      <c r="B84" s="34" t="s">
        <v>226</v>
      </c>
      <c r="C84" s="35">
        <v>21000000</v>
      </c>
      <c r="D84" s="35">
        <v>0</v>
      </c>
      <c r="E84" s="35">
        <v>2664126200</v>
      </c>
      <c r="F84" s="34" t="s">
        <v>227</v>
      </c>
      <c r="L84" s="26">
        <f t="shared" si="44"/>
        <v>0</v>
      </c>
      <c r="M84" s="15" t="str">
        <f t="shared" si="45"/>
        <v>Đúng</v>
      </c>
      <c r="N84" s="21" t="str">
        <f t="shared" si="23"/>
        <v/>
      </c>
      <c r="O84" s="21" t="str">
        <f t="shared" si="24"/>
        <v/>
      </c>
      <c r="P84" s="21"/>
      <c r="Q84" s="18">
        <f t="shared" si="46"/>
        <v>0</v>
      </c>
      <c r="R84" s="21" t="str">
        <f t="shared" si="25"/>
        <v/>
      </c>
      <c r="S84" s="21"/>
      <c r="T84" s="21"/>
      <c r="U84" s="21" t="str">
        <f t="shared" si="26"/>
        <v/>
      </c>
      <c r="V84" s="21"/>
      <c r="W84" s="21"/>
      <c r="X84" s="21"/>
      <c r="Y84" s="21"/>
      <c r="Z84" s="21"/>
      <c r="AA84" s="21"/>
      <c r="AB84" s="21"/>
      <c r="AC84" s="21"/>
      <c r="AD84" s="21"/>
      <c r="AE84" s="21"/>
      <c r="AF84" s="21"/>
      <c r="AG84" s="21"/>
      <c r="AH84" s="21" t="str">
        <f t="shared" si="27"/>
        <v/>
      </c>
      <c r="AI84" s="20"/>
      <c r="AJ84" s="21" t="str">
        <f t="shared" si="28"/>
        <v/>
      </c>
      <c r="AK84" s="26"/>
      <c r="AL84" s="21" t="str">
        <f t="shared" si="29"/>
        <v/>
      </c>
      <c r="AM84" s="21" t="str">
        <f t="shared" si="30"/>
        <v/>
      </c>
      <c r="AN84" s="21" t="str">
        <f t="shared" si="31"/>
        <v/>
      </c>
      <c r="AO84" s="21" t="str">
        <f t="shared" si="32"/>
        <v/>
      </c>
      <c r="AP84" s="21" t="str">
        <f t="shared" si="33"/>
        <v/>
      </c>
      <c r="AQ84" s="21" t="str">
        <f t="shared" si="34"/>
        <v/>
      </c>
      <c r="AR84" s="21"/>
      <c r="AS84" s="27"/>
      <c r="AT84" s="19"/>
    </row>
    <row r="85" spans="2:46" ht="30" hidden="1" customHeight="1" x14ac:dyDescent="0.25">
      <c r="B85" s="34" t="s">
        <v>228</v>
      </c>
      <c r="C85" s="35">
        <v>770000</v>
      </c>
      <c r="D85" s="35">
        <v>0</v>
      </c>
      <c r="E85" s="35">
        <v>2663356200</v>
      </c>
      <c r="F85" s="34" t="s">
        <v>229</v>
      </c>
      <c r="L85" s="26">
        <f t="shared" si="44"/>
        <v>0</v>
      </c>
      <c r="M85" s="15" t="str">
        <f t="shared" si="45"/>
        <v>Đúng</v>
      </c>
      <c r="N85" s="21" t="str">
        <f t="shared" si="23"/>
        <v/>
      </c>
      <c r="O85" s="21" t="str">
        <f t="shared" si="24"/>
        <v/>
      </c>
      <c r="P85" s="21"/>
      <c r="Q85" s="18">
        <f t="shared" si="46"/>
        <v>0</v>
      </c>
      <c r="R85" s="21" t="str">
        <f t="shared" si="25"/>
        <v/>
      </c>
      <c r="S85" s="21"/>
      <c r="T85" s="21"/>
      <c r="U85" s="21" t="str">
        <f t="shared" si="26"/>
        <v/>
      </c>
      <c r="V85" s="21"/>
      <c r="W85" s="21"/>
      <c r="X85" s="21"/>
      <c r="Y85" s="21"/>
      <c r="Z85" s="21"/>
      <c r="AA85" s="21"/>
      <c r="AB85" s="21"/>
      <c r="AC85" s="21"/>
      <c r="AD85" s="21"/>
      <c r="AE85" s="21"/>
      <c r="AF85" s="21"/>
      <c r="AG85" s="21"/>
      <c r="AH85" s="21" t="str">
        <f t="shared" si="27"/>
        <v/>
      </c>
      <c r="AI85" s="20"/>
      <c r="AJ85" s="21" t="str">
        <f t="shared" si="28"/>
        <v/>
      </c>
      <c r="AK85" s="26"/>
      <c r="AL85" s="21" t="str">
        <f t="shared" si="29"/>
        <v/>
      </c>
      <c r="AM85" s="21" t="str">
        <f t="shared" si="30"/>
        <v/>
      </c>
      <c r="AN85" s="21" t="str">
        <f t="shared" si="31"/>
        <v/>
      </c>
      <c r="AO85" s="21" t="str">
        <f t="shared" si="32"/>
        <v/>
      </c>
      <c r="AP85" s="21" t="str">
        <f t="shared" si="33"/>
        <v/>
      </c>
      <c r="AQ85" s="21" t="str">
        <f t="shared" si="34"/>
        <v/>
      </c>
      <c r="AR85" s="21"/>
      <c r="AS85" s="27"/>
      <c r="AT85" s="19"/>
    </row>
    <row r="86" spans="2:46" ht="30" customHeight="1" x14ac:dyDescent="0.25">
      <c r="B86" s="34" t="s">
        <v>230</v>
      </c>
      <c r="C86" s="35">
        <v>0</v>
      </c>
      <c r="D86" s="35">
        <v>3024000</v>
      </c>
      <c r="E86" s="35">
        <v>2666380200</v>
      </c>
      <c r="F86" s="34" t="s">
        <v>231</v>
      </c>
      <c r="K86" s="4" t="s">
        <v>67</v>
      </c>
      <c r="L86" s="26">
        <f t="shared" si="44"/>
        <v>3024000</v>
      </c>
      <c r="M86" s="15" t="str">
        <f t="shared" si="45"/>
        <v>Đúng</v>
      </c>
      <c r="N86" s="21">
        <f t="shared" si="23"/>
        <v>3024000</v>
      </c>
      <c r="O86" s="21" t="str">
        <f t="shared" si="24"/>
        <v/>
      </c>
      <c r="P86" s="21"/>
      <c r="Q86" s="18">
        <f t="shared" si="46"/>
        <v>3024000</v>
      </c>
      <c r="R86" s="21" t="str">
        <f t="shared" si="25"/>
        <v/>
      </c>
      <c r="S86" s="21"/>
      <c r="T86" s="21"/>
      <c r="U86" s="21" t="str">
        <f t="shared" si="26"/>
        <v/>
      </c>
      <c r="V86" s="21"/>
      <c r="W86" s="21"/>
      <c r="X86" s="21"/>
      <c r="Y86" s="21"/>
      <c r="Z86" s="21"/>
      <c r="AA86" s="21"/>
      <c r="AB86" s="21"/>
      <c r="AC86" s="21"/>
      <c r="AD86" s="21"/>
      <c r="AE86" s="21"/>
      <c r="AF86" s="21"/>
      <c r="AG86" s="21"/>
      <c r="AH86" s="21" t="str">
        <f t="shared" si="27"/>
        <v/>
      </c>
      <c r="AI86" s="20"/>
      <c r="AJ86" s="21" t="str">
        <f t="shared" si="28"/>
        <v/>
      </c>
      <c r="AK86" s="26"/>
      <c r="AL86" s="21" t="str">
        <f t="shared" si="29"/>
        <v/>
      </c>
      <c r="AM86" s="21" t="str">
        <f t="shared" si="30"/>
        <v/>
      </c>
      <c r="AN86" s="21" t="str">
        <f t="shared" si="31"/>
        <v/>
      </c>
      <c r="AO86" s="21" t="str">
        <f t="shared" si="32"/>
        <v/>
      </c>
      <c r="AP86" s="21" t="str">
        <f t="shared" si="33"/>
        <v/>
      </c>
      <c r="AQ86" s="21" t="str">
        <f t="shared" si="34"/>
        <v/>
      </c>
      <c r="AR86" s="21"/>
      <c r="AS86" s="27"/>
      <c r="AT86" s="19"/>
    </row>
    <row r="87" spans="2:46" ht="30" customHeight="1" x14ac:dyDescent="0.25">
      <c r="B87" s="34" t="s">
        <v>232</v>
      </c>
      <c r="C87" s="35">
        <v>0</v>
      </c>
      <c r="D87" s="35">
        <v>3024000</v>
      </c>
      <c r="E87" s="35">
        <v>2669404200</v>
      </c>
      <c r="F87" s="34" t="s">
        <v>233</v>
      </c>
      <c r="K87" s="4" t="s">
        <v>67</v>
      </c>
      <c r="L87" s="26">
        <f t="shared" si="44"/>
        <v>3024000</v>
      </c>
      <c r="M87" s="15" t="str">
        <f t="shared" si="45"/>
        <v>Đúng</v>
      </c>
      <c r="N87" s="21">
        <f t="shared" si="23"/>
        <v>3024000</v>
      </c>
      <c r="O87" s="21" t="str">
        <f t="shared" si="24"/>
        <v/>
      </c>
      <c r="P87" s="21"/>
      <c r="Q87" s="18">
        <f t="shared" si="46"/>
        <v>3024000</v>
      </c>
      <c r="R87" s="21" t="str">
        <f t="shared" si="25"/>
        <v/>
      </c>
      <c r="S87" s="21"/>
      <c r="T87" s="21"/>
      <c r="U87" s="21" t="str">
        <f t="shared" si="26"/>
        <v/>
      </c>
      <c r="V87" s="21"/>
      <c r="W87" s="21"/>
      <c r="X87" s="21"/>
      <c r="Y87" s="21"/>
      <c r="Z87" s="21"/>
      <c r="AA87" s="21"/>
      <c r="AB87" s="21"/>
      <c r="AC87" s="21"/>
      <c r="AD87" s="21"/>
      <c r="AE87" s="21"/>
      <c r="AF87" s="21"/>
      <c r="AG87" s="21"/>
      <c r="AH87" s="21" t="str">
        <f t="shared" si="27"/>
        <v/>
      </c>
      <c r="AI87" s="20"/>
      <c r="AJ87" s="21" t="str">
        <f t="shared" si="28"/>
        <v/>
      </c>
      <c r="AK87" s="26"/>
      <c r="AL87" s="21" t="str">
        <f t="shared" si="29"/>
        <v/>
      </c>
      <c r="AM87" s="21" t="str">
        <f t="shared" si="30"/>
        <v/>
      </c>
      <c r="AN87" s="21" t="str">
        <f t="shared" si="31"/>
        <v/>
      </c>
      <c r="AO87" s="21" t="str">
        <f t="shared" si="32"/>
        <v/>
      </c>
      <c r="AP87" s="21" t="str">
        <f t="shared" si="33"/>
        <v/>
      </c>
      <c r="AQ87" s="21" t="str">
        <f t="shared" si="34"/>
        <v/>
      </c>
      <c r="AR87" s="21"/>
      <c r="AS87" s="27"/>
      <c r="AT87" s="19"/>
    </row>
    <row r="88" spans="2:46" ht="30" hidden="1" customHeight="1" x14ac:dyDescent="0.25">
      <c r="B88" s="34" t="s">
        <v>346</v>
      </c>
      <c r="C88" s="35">
        <v>0</v>
      </c>
      <c r="D88" s="35">
        <v>200000</v>
      </c>
      <c r="E88" s="35">
        <v>2669604200</v>
      </c>
      <c r="F88" s="34" t="s">
        <v>347</v>
      </c>
      <c r="K88" s="4" t="s">
        <v>69</v>
      </c>
      <c r="L88" s="26">
        <f t="shared" ref="L88:L149" si="47">D88</f>
        <v>200000</v>
      </c>
      <c r="M88" s="15" t="str">
        <f t="shared" ref="M88:M149" si="48">IF(Q88=L88, "Đúng", "Sai")</f>
        <v>Đúng</v>
      </c>
      <c r="N88" s="21" t="str">
        <f t="shared" si="23"/>
        <v/>
      </c>
      <c r="O88" s="21" t="str">
        <f t="shared" si="24"/>
        <v/>
      </c>
      <c r="P88" s="21"/>
      <c r="Q88" s="18">
        <f t="shared" ref="Q88:Q149" si="49">SUM(R88:AQ88)+SUM(N88:P88)</f>
        <v>200000</v>
      </c>
      <c r="R88" s="21">
        <f t="shared" si="25"/>
        <v>200000</v>
      </c>
      <c r="S88" s="21"/>
      <c r="T88" s="21"/>
      <c r="U88" s="21" t="str">
        <f t="shared" si="26"/>
        <v/>
      </c>
      <c r="V88" s="21"/>
      <c r="W88" s="21"/>
      <c r="X88" s="21"/>
      <c r="Y88" s="21"/>
      <c r="Z88" s="21"/>
      <c r="AA88" s="21"/>
      <c r="AB88" s="21"/>
      <c r="AC88" s="21"/>
      <c r="AD88" s="21"/>
      <c r="AE88" s="21"/>
      <c r="AF88" s="21"/>
      <c r="AG88" s="21"/>
      <c r="AH88" s="21" t="str">
        <f t="shared" si="27"/>
        <v/>
      </c>
      <c r="AI88" s="20"/>
      <c r="AJ88" s="21" t="str">
        <f t="shared" si="28"/>
        <v/>
      </c>
      <c r="AK88" s="26"/>
      <c r="AL88" s="21" t="str">
        <f t="shared" si="29"/>
        <v/>
      </c>
      <c r="AM88" s="21" t="str">
        <f t="shared" si="30"/>
        <v/>
      </c>
      <c r="AN88" s="21" t="str">
        <f t="shared" si="31"/>
        <v/>
      </c>
      <c r="AO88" s="21" t="str">
        <f t="shared" si="32"/>
        <v/>
      </c>
      <c r="AP88" s="21" t="str">
        <f t="shared" si="33"/>
        <v/>
      </c>
      <c r="AQ88" s="21" t="str">
        <f t="shared" si="34"/>
        <v/>
      </c>
      <c r="AR88" s="21"/>
      <c r="AS88" s="27"/>
      <c r="AT88" s="19"/>
    </row>
    <row r="89" spans="2:46" ht="30" hidden="1" customHeight="1" x14ac:dyDescent="0.25">
      <c r="B89" s="34" t="s">
        <v>348</v>
      </c>
      <c r="C89" s="35">
        <v>0</v>
      </c>
      <c r="D89" s="35">
        <v>1600000</v>
      </c>
      <c r="E89" s="35">
        <v>2671204200</v>
      </c>
      <c r="F89" s="34" t="s">
        <v>349</v>
      </c>
      <c r="K89" s="4" t="s">
        <v>356</v>
      </c>
      <c r="L89" s="26">
        <f t="shared" si="47"/>
        <v>1600000</v>
      </c>
      <c r="M89" s="15" t="str">
        <f t="shared" si="48"/>
        <v>Đúng</v>
      </c>
      <c r="N89" s="21" t="str">
        <f t="shared" si="23"/>
        <v/>
      </c>
      <c r="O89" s="21" t="str">
        <f t="shared" si="24"/>
        <v/>
      </c>
      <c r="P89" s="21"/>
      <c r="Q89" s="18">
        <f t="shared" si="49"/>
        <v>1600000</v>
      </c>
      <c r="R89" s="21" t="str">
        <f t="shared" si="25"/>
        <v/>
      </c>
      <c r="S89" s="21"/>
      <c r="T89" s="21"/>
      <c r="U89" s="21" t="str">
        <f t="shared" si="26"/>
        <v/>
      </c>
      <c r="V89" s="21"/>
      <c r="W89" s="21"/>
      <c r="X89" s="21"/>
      <c r="Y89" s="21"/>
      <c r="Z89" s="21"/>
      <c r="AA89" s="21"/>
      <c r="AB89" s="21"/>
      <c r="AC89" s="21"/>
      <c r="AD89" s="21"/>
      <c r="AE89" s="21"/>
      <c r="AF89" s="21"/>
      <c r="AG89" s="21"/>
      <c r="AH89" s="21" t="str">
        <f t="shared" si="27"/>
        <v/>
      </c>
      <c r="AI89" s="20"/>
      <c r="AJ89" s="21" t="str">
        <f t="shared" si="28"/>
        <v/>
      </c>
      <c r="AK89" s="26"/>
      <c r="AL89" s="21">
        <f t="shared" si="29"/>
        <v>1600000</v>
      </c>
      <c r="AM89" s="21" t="str">
        <f t="shared" si="30"/>
        <v/>
      </c>
      <c r="AN89" s="21" t="str">
        <f t="shared" si="31"/>
        <v/>
      </c>
      <c r="AO89" s="21" t="str">
        <f t="shared" si="32"/>
        <v/>
      </c>
      <c r="AP89" s="21" t="str">
        <f t="shared" si="33"/>
        <v/>
      </c>
      <c r="AQ89" s="21" t="str">
        <f t="shared" si="34"/>
        <v/>
      </c>
      <c r="AR89" s="21"/>
      <c r="AS89" s="27"/>
      <c r="AT89" s="19"/>
    </row>
    <row r="90" spans="2:46" ht="30" hidden="1" customHeight="1" x14ac:dyDescent="0.25">
      <c r="B90" s="34" t="s">
        <v>350</v>
      </c>
      <c r="C90" s="35">
        <v>0</v>
      </c>
      <c r="D90" s="35">
        <v>720000</v>
      </c>
      <c r="E90" s="35">
        <v>2671924200</v>
      </c>
      <c r="F90" s="34" t="s">
        <v>351</v>
      </c>
      <c r="K90" s="4" t="s">
        <v>64</v>
      </c>
      <c r="L90" s="26">
        <f t="shared" si="47"/>
        <v>720000</v>
      </c>
      <c r="M90" s="15" t="str">
        <f t="shared" si="48"/>
        <v>Đúng</v>
      </c>
      <c r="N90" s="21" t="str">
        <f t="shared" si="23"/>
        <v/>
      </c>
      <c r="O90" s="21" t="str">
        <f t="shared" si="24"/>
        <v/>
      </c>
      <c r="P90" s="21"/>
      <c r="Q90" s="18">
        <f t="shared" si="49"/>
        <v>720000</v>
      </c>
      <c r="R90" s="21" t="str">
        <f t="shared" si="25"/>
        <v/>
      </c>
      <c r="S90" s="21"/>
      <c r="T90" s="21"/>
      <c r="U90" s="21" t="str">
        <f t="shared" si="26"/>
        <v/>
      </c>
      <c r="V90" s="21"/>
      <c r="W90" s="21"/>
      <c r="X90" s="21"/>
      <c r="Y90" s="21"/>
      <c r="Z90" s="21"/>
      <c r="AA90" s="21"/>
      <c r="AB90" s="21"/>
      <c r="AC90" s="21"/>
      <c r="AD90" s="21"/>
      <c r="AE90" s="21"/>
      <c r="AF90" s="21"/>
      <c r="AG90" s="21"/>
      <c r="AH90" s="21" t="str">
        <f t="shared" si="27"/>
        <v/>
      </c>
      <c r="AI90" s="20"/>
      <c r="AJ90" s="21" t="str">
        <f t="shared" si="28"/>
        <v/>
      </c>
      <c r="AK90" s="26"/>
      <c r="AL90" s="21" t="str">
        <f t="shared" si="29"/>
        <v/>
      </c>
      <c r="AM90" s="21" t="str">
        <f t="shared" si="30"/>
        <v/>
      </c>
      <c r="AN90" s="21">
        <f t="shared" si="31"/>
        <v>720000</v>
      </c>
      <c r="AO90" s="21" t="str">
        <f t="shared" si="32"/>
        <v/>
      </c>
      <c r="AP90" s="21" t="str">
        <f t="shared" si="33"/>
        <v/>
      </c>
      <c r="AQ90" s="21" t="str">
        <f t="shared" si="34"/>
        <v/>
      </c>
      <c r="AR90" s="21"/>
      <c r="AS90" s="27"/>
      <c r="AT90" s="19"/>
    </row>
    <row r="91" spans="2:46" ht="30" hidden="1" customHeight="1" x14ac:dyDescent="0.25">
      <c r="B91" s="34" t="s">
        <v>352</v>
      </c>
      <c r="C91" s="35">
        <v>0</v>
      </c>
      <c r="D91" s="35">
        <v>3240000</v>
      </c>
      <c r="E91" s="35">
        <v>2675164200</v>
      </c>
      <c r="F91" s="34" t="s">
        <v>353</v>
      </c>
      <c r="K91" s="4" t="s">
        <v>64</v>
      </c>
      <c r="L91" s="26">
        <f t="shared" si="47"/>
        <v>3240000</v>
      </c>
      <c r="M91" s="15" t="str">
        <f t="shared" si="48"/>
        <v>Đúng</v>
      </c>
      <c r="N91" s="21" t="str">
        <f t="shared" si="23"/>
        <v/>
      </c>
      <c r="O91" s="21" t="str">
        <f t="shared" si="24"/>
        <v/>
      </c>
      <c r="P91" s="21"/>
      <c r="Q91" s="18">
        <f t="shared" si="49"/>
        <v>3240000</v>
      </c>
      <c r="R91" s="21" t="str">
        <f t="shared" si="25"/>
        <v/>
      </c>
      <c r="S91" s="21"/>
      <c r="T91" s="21"/>
      <c r="U91" s="21" t="str">
        <f t="shared" si="26"/>
        <v/>
      </c>
      <c r="V91" s="21"/>
      <c r="W91" s="21"/>
      <c r="X91" s="21"/>
      <c r="Y91" s="21"/>
      <c r="Z91" s="21"/>
      <c r="AA91" s="21"/>
      <c r="AB91" s="21"/>
      <c r="AC91" s="21"/>
      <c r="AD91" s="21"/>
      <c r="AE91" s="21"/>
      <c r="AF91" s="21"/>
      <c r="AG91" s="21"/>
      <c r="AH91" s="21" t="str">
        <f t="shared" si="27"/>
        <v/>
      </c>
      <c r="AI91" s="20"/>
      <c r="AJ91" s="21" t="str">
        <f t="shared" si="28"/>
        <v/>
      </c>
      <c r="AK91" s="26"/>
      <c r="AL91" s="21" t="str">
        <f t="shared" si="29"/>
        <v/>
      </c>
      <c r="AM91" s="21" t="str">
        <f t="shared" si="30"/>
        <v/>
      </c>
      <c r="AN91" s="21">
        <f t="shared" si="31"/>
        <v>3240000</v>
      </c>
      <c r="AO91" s="21" t="str">
        <f t="shared" si="32"/>
        <v/>
      </c>
      <c r="AP91" s="21" t="str">
        <f t="shared" si="33"/>
        <v/>
      </c>
      <c r="AQ91" s="21" t="str">
        <f t="shared" si="34"/>
        <v/>
      </c>
      <c r="AR91" s="21"/>
      <c r="AS91" s="27"/>
      <c r="AT91" s="19"/>
    </row>
    <row r="92" spans="2:46" ht="30" customHeight="1" x14ac:dyDescent="0.25">
      <c r="B92" s="34" t="s">
        <v>354</v>
      </c>
      <c r="C92" s="35">
        <v>0</v>
      </c>
      <c r="D92" s="35">
        <v>450000</v>
      </c>
      <c r="E92" s="35">
        <v>2675614200</v>
      </c>
      <c r="F92" s="34" t="s">
        <v>355</v>
      </c>
      <c r="K92" s="4" t="s">
        <v>67</v>
      </c>
      <c r="L92" s="26">
        <f t="shared" si="47"/>
        <v>450000</v>
      </c>
      <c r="M92" s="15" t="str">
        <f t="shared" si="48"/>
        <v>Đúng</v>
      </c>
      <c r="N92" s="21">
        <f t="shared" si="23"/>
        <v>450000</v>
      </c>
      <c r="O92" s="21" t="str">
        <f t="shared" si="24"/>
        <v/>
      </c>
      <c r="P92" s="21"/>
      <c r="Q92" s="18">
        <f t="shared" si="49"/>
        <v>450000</v>
      </c>
      <c r="R92" s="21" t="str">
        <f t="shared" si="25"/>
        <v/>
      </c>
      <c r="S92" s="21"/>
      <c r="T92" s="21"/>
      <c r="U92" s="21" t="str">
        <f t="shared" si="26"/>
        <v/>
      </c>
      <c r="V92" s="21"/>
      <c r="W92" s="21"/>
      <c r="X92" s="21"/>
      <c r="Y92" s="21"/>
      <c r="Z92" s="21"/>
      <c r="AA92" s="21"/>
      <c r="AB92" s="21"/>
      <c r="AC92" s="21"/>
      <c r="AD92" s="21"/>
      <c r="AE92" s="21"/>
      <c r="AF92" s="21"/>
      <c r="AG92" s="21"/>
      <c r="AH92" s="21" t="str">
        <f t="shared" si="27"/>
        <v/>
      </c>
      <c r="AI92" s="20"/>
      <c r="AJ92" s="21" t="str">
        <f t="shared" si="28"/>
        <v/>
      </c>
      <c r="AK92" s="26"/>
      <c r="AL92" s="21" t="str">
        <f t="shared" si="29"/>
        <v/>
      </c>
      <c r="AM92" s="21" t="str">
        <f t="shared" si="30"/>
        <v/>
      </c>
      <c r="AN92" s="21" t="str">
        <f t="shared" si="31"/>
        <v/>
      </c>
      <c r="AO92" s="21" t="str">
        <f t="shared" si="32"/>
        <v/>
      </c>
      <c r="AP92" s="21" t="str">
        <f t="shared" si="33"/>
        <v/>
      </c>
      <c r="AQ92" s="21" t="str">
        <f t="shared" si="34"/>
        <v/>
      </c>
      <c r="AR92" s="21"/>
      <c r="AS92" s="27"/>
      <c r="AT92" s="19"/>
    </row>
    <row r="93" spans="2:46" ht="30" hidden="1" customHeight="1" x14ac:dyDescent="0.25">
      <c r="B93" s="34" t="s">
        <v>234</v>
      </c>
      <c r="C93" s="35">
        <v>16500</v>
      </c>
      <c r="D93" s="35">
        <v>0</v>
      </c>
      <c r="E93" s="35">
        <v>2675597700</v>
      </c>
      <c r="F93" s="34" t="s">
        <v>235</v>
      </c>
      <c r="L93" s="26">
        <f t="shared" si="47"/>
        <v>0</v>
      </c>
      <c r="M93" s="15" t="str">
        <f t="shared" si="48"/>
        <v>Đúng</v>
      </c>
      <c r="N93" s="21" t="str">
        <f t="shared" si="23"/>
        <v/>
      </c>
      <c r="O93" s="21" t="str">
        <f t="shared" si="24"/>
        <v/>
      </c>
      <c r="P93" s="21"/>
      <c r="Q93" s="18">
        <f t="shared" si="49"/>
        <v>0</v>
      </c>
      <c r="R93" s="21" t="str">
        <f t="shared" si="25"/>
        <v/>
      </c>
      <c r="S93" s="21"/>
      <c r="T93" s="21"/>
      <c r="U93" s="21" t="str">
        <f t="shared" si="26"/>
        <v/>
      </c>
      <c r="V93" s="21"/>
      <c r="W93" s="21"/>
      <c r="X93" s="21"/>
      <c r="Y93" s="21"/>
      <c r="Z93" s="21"/>
      <c r="AA93" s="21"/>
      <c r="AB93" s="21"/>
      <c r="AC93" s="21"/>
      <c r="AD93" s="21"/>
      <c r="AE93" s="21"/>
      <c r="AF93" s="21"/>
      <c r="AG93" s="21"/>
      <c r="AH93" s="21" t="str">
        <f t="shared" si="27"/>
        <v/>
      </c>
      <c r="AI93" s="20"/>
      <c r="AJ93" s="21" t="str">
        <f t="shared" si="28"/>
        <v/>
      </c>
      <c r="AK93" s="26"/>
      <c r="AL93" s="21" t="str">
        <f t="shared" si="29"/>
        <v/>
      </c>
      <c r="AM93" s="21" t="str">
        <f t="shared" si="30"/>
        <v/>
      </c>
      <c r="AN93" s="21" t="str">
        <f t="shared" si="31"/>
        <v/>
      </c>
      <c r="AO93" s="21" t="str">
        <f t="shared" si="32"/>
        <v/>
      </c>
      <c r="AP93" s="21" t="str">
        <f t="shared" si="33"/>
        <v/>
      </c>
      <c r="AQ93" s="21" t="str">
        <f t="shared" si="34"/>
        <v/>
      </c>
      <c r="AR93" s="21"/>
      <c r="AS93" s="27"/>
      <c r="AT93" s="19"/>
    </row>
    <row r="94" spans="2:46" ht="30" customHeight="1" x14ac:dyDescent="0.25">
      <c r="B94" s="34" t="s">
        <v>236</v>
      </c>
      <c r="C94" s="35">
        <v>0</v>
      </c>
      <c r="D94" s="35">
        <v>2825000</v>
      </c>
      <c r="E94" s="35">
        <v>2678422700</v>
      </c>
      <c r="F94" s="34" t="s">
        <v>237</v>
      </c>
      <c r="K94" s="4" t="s">
        <v>67</v>
      </c>
      <c r="L94" s="26">
        <f t="shared" si="47"/>
        <v>2825000</v>
      </c>
      <c r="M94" s="15" t="str">
        <f t="shared" si="48"/>
        <v>Đúng</v>
      </c>
      <c r="N94" s="21">
        <f t="shared" si="23"/>
        <v>2825000</v>
      </c>
      <c r="O94" s="21" t="str">
        <f t="shared" si="24"/>
        <v/>
      </c>
      <c r="P94" s="21"/>
      <c r="Q94" s="18">
        <f t="shared" si="49"/>
        <v>2825000</v>
      </c>
      <c r="R94" s="21" t="str">
        <f t="shared" si="25"/>
        <v/>
      </c>
      <c r="S94" s="21"/>
      <c r="T94" s="21"/>
      <c r="U94" s="21" t="str">
        <f t="shared" si="26"/>
        <v/>
      </c>
      <c r="V94" s="21"/>
      <c r="W94" s="21"/>
      <c r="X94" s="21"/>
      <c r="Y94" s="21"/>
      <c r="Z94" s="21"/>
      <c r="AA94" s="21"/>
      <c r="AB94" s="21"/>
      <c r="AC94" s="21"/>
      <c r="AD94" s="21"/>
      <c r="AE94" s="21"/>
      <c r="AF94" s="21"/>
      <c r="AG94" s="21"/>
      <c r="AH94" s="21" t="str">
        <f t="shared" si="27"/>
        <v/>
      </c>
      <c r="AI94" s="20"/>
      <c r="AJ94" s="21" t="str">
        <f t="shared" si="28"/>
        <v/>
      </c>
      <c r="AK94" s="26"/>
      <c r="AL94" s="21" t="str">
        <f t="shared" si="29"/>
        <v/>
      </c>
      <c r="AM94" s="21" t="str">
        <f t="shared" si="30"/>
        <v/>
      </c>
      <c r="AN94" s="21" t="str">
        <f t="shared" si="31"/>
        <v/>
      </c>
      <c r="AO94" s="21" t="str">
        <f t="shared" si="32"/>
        <v/>
      </c>
      <c r="AP94" s="21" t="str">
        <f t="shared" si="33"/>
        <v/>
      </c>
      <c r="AQ94" s="21" t="str">
        <f t="shared" si="34"/>
        <v/>
      </c>
      <c r="AR94" s="21"/>
      <c r="AS94" s="27"/>
      <c r="AT94" s="19"/>
    </row>
    <row r="95" spans="2:46" ht="30" customHeight="1" x14ac:dyDescent="0.25">
      <c r="B95" s="34" t="s">
        <v>238</v>
      </c>
      <c r="C95" s="35">
        <v>0</v>
      </c>
      <c r="D95" s="35">
        <v>3024000</v>
      </c>
      <c r="E95" s="35">
        <v>2681446700</v>
      </c>
      <c r="F95" s="34" t="s">
        <v>239</v>
      </c>
      <c r="K95" s="4" t="s">
        <v>67</v>
      </c>
      <c r="L95" s="26">
        <f t="shared" si="47"/>
        <v>3024000</v>
      </c>
      <c r="M95" s="15" t="str">
        <f t="shared" si="48"/>
        <v>Đúng</v>
      </c>
      <c r="N95" s="21">
        <f t="shared" si="23"/>
        <v>3024000</v>
      </c>
      <c r="O95" s="21" t="str">
        <f t="shared" si="24"/>
        <v/>
      </c>
      <c r="P95" s="21"/>
      <c r="Q95" s="18">
        <f t="shared" si="49"/>
        <v>3024000</v>
      </c>
      <c r="R95" s="21" t="str">
        <f t="shared" si="25"/>
        <v/>
      </c>
      <c r="S95" s="21"/>
      <c r="T95" s="21"/>
      <c r="U95" s="21" t="str">
        <f t="shared" si="26"/>
        <v/>
      </c>
      <c r="V95" s="21"/>
      <c r="W95" s="21"/>
      <c r="X95" s="21"/>
      <c r="Y95" s="21"/>
      <c r="Z95" s="21"/>
      <c r="AA95" s="21"/>
      <c r="AB95" s="21"/>
      <c r="AC95" s="21"/>
      <c r="AD95" s="21"/>
      <c r="AE95" s="21"/>
      <c r="AF95" s="21"/>
      <c r="AG95" s="21"/>
      <c r="AH95" s="21" t="str">
        <f t="shared" si="27"/>
        <v/>
      </c>
      <c r="AI95" s="20"/>
      <c r="AJ95" s="21" t="str">
        <f t="shared" si="28"/>
        <v/>
      </c>
      <c r="AK95" s="26"/>
      <c r="AL95" s="21" t="str">
        <f t="shared" si="29"/>
        <v/>
      </c>
      <c r="AM95" s="21" t="str">
        <f t="shared" si="30"/>
        <v/>
      </c>
      <c r="AN95" s="21" t="str">
        <f t="shared" si="31"/>
        <v/>
      </c>
      <c r="AO95" s="21" t="str">
        <f t="shared" si="32"/>
        <v/>
      </c>
      <c r="AP95" s="21" t="str">
        <f t="shared" si="33"/>
        <v/>
      </c>
      <c r="AQ95" s="21" t="str">
        <f t="shared" si="34"/>
        <v/>
      </c>
      <c r="AR95" s="21"/>
      <c r="AS95" s="27"/>
      <c r="AT95" s="19"/>
    </row>
    <row r="96" spans="2:46" ht="30" customHeight="1" x14ac:dyDescent="0.25">
      <c r="B96" s="34" t="s">
        <v>240</v>
      </c>
      <c r="C96" s="35">
        <v>0</v>
      </c>
      <c r="D96" s="35">
        <v>3024000</v>
      </c>
      <c r="E96" s="35">
        <v>2684470700</v>
      </c>
      <c r="F96" s="34" t="s">
        <v>241</v>
      </c>
      <c r="K96" s="4" t="s">
        <v>67</v>
      </c>
      <c r="L96" s="26">
        <f t="shared" si="47"/>
        <v>3024000</v>
      </c>
      <c r="M96" s="15" t="str">
        <f t="shared" si="48"/>
        <v>Đúng</v>
      </c>
      <c r="N96" s="21">
        <f t="shared" si="23"/>
        <v>3024000</v>
      </c>
      <c r="O96" s="21" t="str">
        <f t="shared" si="24"/>
        <v/>
      </c>
      <c r="P96" s="21"/>
      <c r="Q96" s="18">
        <f t="shared" si="49"/>
        <v>3024000</v>
      </c>
      <c r="R96" s="21" t="str">
        <f t="shared" si="25"/>
        <v/>
      </c>
      <c r="S96" s="21"/>
      <c r="T96" s="21"/>
      <c r="U96" s="21" t="str">
        <f t="shared" si="26"/>
        <v/>
      </c>
      <c r="V96" s="21"/>
      <c r="W96" s="21"/>
      <c r="X96" s="21"/>
      <c r="Y96" s="21"/>
      <c r="Z96" s="21"/>
      <c r="AA96" s="21"/>
      <c r="AB96" s="21"/>
      <c r="AC96" s="21"/>
      <c r="AD96" s="21"/>
      <c r="AE96" s="21"/>
      <c r="AF96" s="21"/>
      <c r="AG96" s="21"/>
      <c r="AH96" s="21" t="str">
        <f t="shared" si="27"/>
        <v/>
      </c>
      <c r="AI96" s="20"/>
      <c r="AJ96" s="21" t="str">
        <f t="shared" si="28"/>
        <v/>
      </c>
      <c r="AK96" s="26"/>
      <c r="AL96" s="21" t="str">
        <f t="shared" si="29"/>
        <v/>
      </c>
      <c r="AM96" s="21" t="str">
        <f t="shared" si="30"/>
        <v/>
      </c>
      <c r="AN96" s="21" t="str">
        <f t="shared" si="31"/>
        <v/>
      </c>
      <c r="AO96" s="21" t="str">
        <f t="shared" si="32"/>
        <v/>
      </c>
      <c r="AP96" s="21" t="str">
        <f t="shared" si="33"/>
        <v/>
      </c>
      <c r="AQ96" s="21" t="str">
        <f t="shared" si="34"/>
        <v/>
      </c>
      <c r="AR96" s="21"/>
      <c r="AS96" s="27"/>
      <c r="AT96" s="19"/>
    </row>
    <row r="97" spans="2:46" ht="30" customHeight="1" x14ac:dyDescent="0.25">
      <c r="B97" s="34" t="s">
        <v>242</v>
      </c>
      <c r="C97" s="35">
        <v>0</v>
      </c>
      <c r="D97" s="35">
        <v>3024000</v>
      </c>
      <c r="E97" s="35">
        <v>2687494700</v>
      </c>
      <c r="F97" s="34" t="s">
        <v>243</v>
      </c>
      <c r="K97" s="4" t="s">
        <v>67</v>
      </c>
      <c r="L97" s="26">
        <f t="shared" si="47"/>
        <v>3024000</v>
      </c>
      <c r="M97" s="15" t="str">
        <f t="shared" si="48"/>
        <v>Đúng</v>
      </c>
      <c r="N97" s="21">
        <f t="shared" si="23"/>
        <v>3024000</v>
      </c>
      <c r="O97" s="21" t="str">
        <f t="shared" si="24"/>
        <v/>
      </c>
      <c r="P97" s="21"/>
      <c r="Q97" s="18">
        <f t="shared" si="49"/>
        <v>3024000</v>
      </c>
      <c r="R97" s="21" t="str">
        <f t="shared" si="25"/>
        <v/>
      </c>
      <c r="S97" s="21"/>
      <c r="T97" s="21"/>
      <c r="U97" s="21" t="str">
        <f t="shared" si="26"/>
        <v/>
      </c>
      <c r="V97" s="21"/>
      <c r="W97" s="21"/>
      <c r="X97" s="21"/>
      <c r="Y97" s="21"/>
      <c r="Z97" s="21"/>
      <c r="AA97" s="21"/>
      <c r="AB97" s="21"/>
      <c r="AC97" s="21"/>
      <c r="AD97" s="21"/>
      <c r="AE97" s="21"/>
      <c r="AF97" s="21"/>
      <c r="AG97" s="21"/>
      <c r="AH97" s="21" t="str">
        <f t="shared" si="27"/>
        <v/>
      </c>
      <c r="AI97" s="20"/>
      <c r="AJ97" s="21" t="str">
        <f t="shared" si="28"/>
        <v/>
      </c>
      <c r="AK97" s="26"/>
      <c r="AL97" s="21" t="str">
        <f t="shared" si="29"/>
        <v/>
      </c>
      <c r="AM97" s="21" t="str">
        <f t="shared" si="30"/>
        <v/>
      </c>
      <c r="AN97" s="21" t="str">
        <f t="shared" si="31"/>
        <v/>
      </c>
      <c r="AO97" s="21" t="str">
        <f t="shared" si="32"/>
        <v/>
      </c>
      <c r="AP97" s="21" t="str">
        <f t="shared" si="33"/>
        <v/>
      </c>
      <c r="AQ97" s="21" t="str">
        <f t="shared" si="34"/>
        <v/>
      </c>
      <c r="AR97" s="21"/>
      <c r="AS97" s="27"/>
      <c r="AT97" s="19"/>
    </row>
    <row r="98" spans="2:46" ht="30" hidden="1" customHeight="1" x14ac:dyDescent="0.25">
      <c r="B98" s="34" t="s">
        <v>244</v>
      </c>
      <c r="C98" s="35">
        <v>0</v>
      </c>
      <c r="D98" s="35">
        <v>21600000</v>
      </c>
      <c r="E98" s="35">
        <v>2709094700</v>
      </c>
      <c r="F98" s="34" t="s">
        <v>245</v>
      </c>
      <c r="K98" s="4" t="s">
        <v>64</v>
      </c>
      <c r="L98" s="26">
        <f t="shared" si="47"/>
        <v>21600000</v>
      </c>
      <c r="M98" s="15" t="str">
        <f t="shared" si="48"/>
        <v>Đúng</v>
      </c>
      <c r="N98" s="21" t="str">
        <f t="shared" si="23"/>
        <v/>
      </c>
      <c r="O98" s="21" t="str">
        <f t="shared" si="24"/>
        <v/>
      </c>
      <c r="P98" s="21"/>
      <c r="Q98" s="18">
        <f t="shared" si="49"/>
        <v>21600000</v>
      </c>
      <c r="R98" s="21" t="str">
        <f t="shared" si="25"/>
        <v/>
      </c>
      <c r="S98" s="21"/>
      <c r="T98" s="21"/>
      <c r="U98" s="21" t="str">
        <f t="shared" si="26"/>
        <v/>
      </c>
      <c r="V98" s="21"/>
      <c r="W98" s="21"/>
      <c r="X98" s="21"/>
      <c r="Y98" s="21"/>
      <c r="Z98" s="21"/>
      <c r="AA98" s="21"/>
      <c r="AB98" s="21"/>
      <c r="AC98" s="21"/>
      <c r="AD98" s="21"/>
      <c r="AE98" s="21"/>
      <c r="AF98" s="21"/>
      <c r="AG98" s="21"/>
      <c r="AH98" s="21" t="str">
        <f t="shared" si="27"/>
        <v/>
      </c>
      <c r="AI98" s="20"/>
      <c r="AJ98" s="21" t="str">
        <f t="shared" si="28"/>
        <v/>
      </c>
      <c r="AK98" s="26"/>
      <c r="AL98" s="21" t="str">
        <f t="shared" si="29"/>
        <v/>
      </c>
      <c r="AM98" s="21" t="str">
        <f t="shared" si="30"/>
        <v/>
      </c>
      <c r="AN98" s="21">
        <f t="shared" si="31"/>
        <v>21600000</v>
      </c>
      <c r="AO98" s="21" t="str">
        <f t="shared" si="32"/>
        <v/>
      </c>
      <c r="AP98" s="21" t="str">
        <f t="shared" si="33"/>
        <v/>
      </c>
      <c r="AQ98" s="21" t="str">
        <f t="shared" si="34"/>
        <v/>
      </c>
      <c r="AR98" s="21"/>
      <c r="AS98" s="27"/>
      <c r="AT98" s="19"/>
    </row>
    <row r="99" spans="2:46" ht="30" hidden="1" customHeight="1" x14ac:dyDescent="0.25">
      <c r="B99" s="34" t="s">
        <v>246</v>
      </c>
      <c r="C99" s="35">
        <v>0</v>
      </c>
      <c r="D99" s="35">
        <v>720000</v>
      </c>
      <c r="E99" s="35">
        <v>2709814700</v>
      </c>
      <c r="F99" s="34" t="s">
        <v>247</v>
      </c>
      <c r="K99" s="4" t="s">
        <v>64</v>
      </c>
      <c r="L99" s="26">
        <f t="shared" si="47"/>
        <v>720000</v>
      </c>
      <c r="M99" s="15" t="str">
        <f t="shared" si="48"/>
        <v>Đúng</v>
      </c>
      <c r="N99" s="21" t="str">
        <f t="shared" si="23"/>
        <v/>
      </c>
      <c r="O99" s="21" t="str">
        <f t="shared" si="24"/>
        <v/>
      </c>
      <c r="P99" s="21"/>
      <c r="Q99" s="18">
        <f t="shared" si="49"/>
        <v>720000</v>
      </c>
      <c r="R99" s="21" t="str">
        <f t="shared" si="25"/>
        <v/>
      </c>
      <c r="S99" s="21"/>
      <c r="T99" s="21"/>
      <c r="U99" s="21" t="str">
        <f t="shared" si="26"/>
        <v/>
      </c>
      <c r="V99" s="21"/>
      <c r="W99" s="21"/>
      <c r="X99" s="21"/>
      <c r="Y99" s="21"/>
      <c r="Z99" s="21"/>
      <c r="AA99" s="21"/>
      <c r="AB99" s="21"/>
      <c r="AC99" s="21"/>
      <c r="AD99" s="21"/>
      <c r="AE99" s="21"/>
      <c r="AF99" s="21"/>
      <c r="AG99" s="21"/>
      <c r="AH99" s="21" t="str">
        <f t="shared" si="27"/>
        <v/>
      </c>
      <c r="AI99" s="20"/>
      <c r="AJ99" s="21" t="str">
        <f t="shared" si="28"/>
        <v/>
      </c>
      <c r="AK99" s="26"/>
      <c r="AL99" s="21" t="str">
        <f t="shared" si="29"/>
        <v/>
      </c>
      <c r="AM99" s="21" t="str">
        <f t="shared" si="30"/>
        <v/>
      </c>
      <c r="AN99" s="21">
        <f t="shared" si="31"/>
        <v>720000</v>
      </c>
      <c r="AO99" s="21" t="str">
        <f t="shared" si="32"/>
        <v/>
      </c>
      <c r="AP99" s="21" t="str">
        <f t="shared" si="33"/>
        <v/>
      </c>
      <c r="AQ99" s="21" t="str">
        <f t="shared" si="34"/>
        <v/>
      </c>
      <c r="AR99" s="21"/>
      <c r="AS99" s="27"/>
      <c r="AT99" s="19"/>
    </row>
    <row r="100" spans="2:46" ht="30" hidden="1" customHeight="1" x14ac:dyDescent="0.25">
      <c r="B100" s="34" t="s">
        <v>248</v>
      </c>
      <c r="C100" s="35">
        <v>0</v>
      </c>
      <c r="D100" s="35">
        <v>720000</v>
      </c>
      <c r="E100" s="35">
        <v>2710534700</v>
      </c>
      <c r="F100" s="34" t="s">
        <v>249</v>
      </c>
      <c r="K100" s="4" t="s">
        <v>64</v>
      </c>
      <c r="L100" s="26">
        <f t="shared" si="47"/>
        <v>720000</v>
      </c>
      <c r="M100" s="15" t="str">
        <f t="shared" si="48"/>
        <v>Đúng</v>
      </c>
      <c r="N100" s="21" t="str">
        <f t="shared" si="23"/>
        <v/>
      </c>
      <c r="O100" s="21" t="str">
        <f t="shared" si="24"/>
        <v/>
      </c>
      <c r="P100" s="21"/>
      <c r="Q100" s="18">
        <f t="shared" si="49"/>
        <v>720000</v>
      </c>
      <c r="R100" s="21" t="str">
        <f t="shared" si="25"/>
        <v/>
      </c>
      <c r="S100" s="21"/>
      <c r="T100" s="21"/>
      <c r="U100" s="21" t="str">
        <f t="shared" si="26"/>
        <v/>
      </c>
      <c r="V100" s="21"/>
      <c r="W100" s="21"/>
      <c r="X100" s="21"/>
      <c r="Y100" s="21"/>
      <c r="Z100" s="21"/>
      <c r="AA100" s="21"/>
      <c r="AB100" s="21"/>
      <c r="AC100" s="21"/>
      <c r="AD100" s="21"/>
      <c r="AE100" s="21"/>
      <c r="AF100" s="21"/>
      <c r="AG100" s="21"/>
      <c r="AH100" s="21" t="str">
        <f t="shared" si="27"/>
        <v/>
      </c>
      <c r="AI100" s="20"/>
      <c r="AJ100" s="21" t="str">
        <f t="shared" si="28"/>
        <v/>
      </c>
      <c r="AK100" s="26"/>
      <c r="AL100" s="21" t="str">
        <f t="shared" si="29"/>
        <v/>
      </c>
      <c r="AM100" s="21" t="str">
        <f t="shared" si="30"/>
        <v/>
      </c>
      <c r="AN100" s="21">
        <f t="shared" si="31"/>
        <v>720000</v>
      </c>
      <c r="AO100" s="21" t="str">
        <f t="shared" si="32"/>
        <v/>
      </c>
      <c r="AP100" s="21" t="str">
        <f t="shared" si="33"/>
        <v/>
      </c>
      <c r="AQ100" s="21" t="str">
        <f t="shared" si="34"/>
        <v/>
      </c>
      <c r="AR100" s="21"/>
      <c r="AS100" s="27"/>
      <c r="AT100" s="19"/>
    </row>
    <row r="101" spans="2:46" ht="30" customHeight="1" x14ac:dyDescent="0.25">
      <c r="B101" s="34" t="s">
        <v>250</v>
      </c>
      <c r="C101" s="35">
        <v>0</v>
      </c>
      <c r="D101" s="35">
        <v>3025000</v>
      </c>
      <c r="E101" s="35">
        <v>2713559700</v>
      </c>
      <c r="F101" s="34" t="s">
        <v>251</v>
      </c>
      <c r="K101" s="4" t="s">
        <v>67</v>
      </c>
      <c r="L101" s="26">
        <f t="shared" si="47"/>
        <v>3025000</v>
      </c>
      <c r="M101" s="15" t="str">
        <f t="shared" si="48"/>
        <v>Đúng</v>
      </c>
      <c r="N101" s="21">
        <f t="shared" si="23"/>
        <v>3025000</v>
      </c>
      <c r="O101" s="21" t="str">
        <f t="shared" si="24"/>
        <v/>
      </c>
      <c r="P101" s="21"/>
      <c r="Q101" s="18">
        <f t="shared" si="49"/>
        <v>3025000</v>
      </c>
      <c r="R101" s="21" t="str">
        <f t="shared" si="25"/>
        <v/>
      </c>
      <c r="S101" s="21"/>
      <c r="T101" s="21"/>
      <c r="U101" s="21" t="str">
        <f t="shared" si="26"/>
        <v/>
      </c>
      <c r="V101" s="21"/>
      <c r="W101" s="21"/>
      <c r="X101" s="21"/>
      <c r="Y101" s="21"/>
      <c r="Z101" s="21"/>
      <c r="AA101" s="21"/>
      <c r="AB101" s="21"/>
      <c r="AC101" s="21"/>
      <c r="AD101" s="21"/>
      <c r="AE101" s="21"/>
      <c r="AF101" s="21"/>
      <c r="AG101" s="21"/>
      <c r="AH101" s="21" t="str">
        <f t="shared" si="27"/>
        <v/>
      </c>
      <c r="AI101" s="20"/>
      <c r="AJ101" s="21" t="str">
        <f t="shared" si="28"/>
        <v/>
      </c>
      <c r="AK101" s="26"/>
      <c r="AL101" s="21" t="str">
        <f t="shared" si="29"/>
        <v/>
      </c>
      <c r="AM101" s="21" t="str">
        <f t="shared" si="30"/>
        <v/>
      </c>
      <c r="AN101" s="21" t="str">
        <f t="shared" si="31"/>
        <v/>
      </c>
      <c r="AO101" s="21" t="str">
        <f t="shared" si="32"/>
        <v/>
      </c>
      <c r="AP101" s="21" t="str">
        <f t="shared" si="33"/>
        <v/>
      </c>
      <c r="AQ101" s="21" t="str">
        <f t="shared" si="34"/>
        <v/>
      </c>
      <c r="AR101" s="21"/>
      <c r="AS101" s="27"/>
      <c r="AT101" s="19"/>
    </row>
    <row r="102" spans="2:46" ht="30" customHeight="1" x14ac:dyDescent="0.25">
      <c r="B102" s="34" t="s">
        <v>252</v>
      </c>
      <c r="C102" s="35">
        <v>0</v>
      </c>
      <c r="D102" s="35">
        <v>3024000</v>
      </c>
      <c r="E102" s="35">
        <v>2716583700</v>
      </c>
      <c r="F102" s="34" t="s">
        <v>253</v>
      </c>
      <c r="K102" s="4" t="s">
        <v>67</v>
      </c>
      <c r="L102" s="26">
        <f t="shared" si="47"/>
        <v>3024000</v>
      </c>
      <c r="M102" s="15" t="str">
        <f t="shared" si="48"/>
        <v>Đúng</v>
      </c>
      <c r="N102" s="21">
        <f t="shared" si="23"/>
        <v>3024000</v>
      </c>
      <c r="O102" s="21" t="str">
        <f t="shared" si="24"/>
        <v/>
      </c>
      <c r="P102" s="21"/>
      <c r="Q102" s="18">
        <f t="shared" si="49"/>
        <v>3024000</v>
      </c>
      <c r="R102" s="21" t="str">
        <f t="shared" si="25"/>
        <v/>
      </c>
      <c r="S102" s="21"/>
      <c r="T102" s="21"/>
      <c r="U102" s="21" t="str">
        <f t="shared" si="26"/>
        <v/>
      </c>
      <c r="V102" s="21"/>
      <c r="W102" s="21"/>
      <c r="X102" s="21"/>
      <c r="Y102" s="21"/>
      <c r="Z102" s="21"/>
      <c r="AA102" s="21"/>
      <c r="AB102" s="21"/>
      <c r="AC102" s="21"/>
      <c r="AD102" s="21"/>
      <c r="AE102" s="21"/>
      <c r="AF102" s="21"/>
      <c r="AG102" s="21"/>
      <c r="AH102" s="21" t="str">
        <f t="shared" si="27"/>
        <v/>
      </c>
      <c r="AI102" s="20"/>
      <c r="AJ102" s="21" t="str">
        <f t="shared" si="28"/>
        <v/>
      </c>
      <c r="AK102" s="26"/>
      <c r="AL102" s="21" t="str">
        <f t="shared" si="29"/>
        <v/>
      </c>
      <c r="AM102" s="21" t="str">
        <f t="shared" si="30"/>
        <v/>
      </c>
      <c r="AN102" s="21" t="str">
        <f t="shared" si="31"/>
        <v/>
      </c>
      <c r="AO102" s="21" t="str">
        <f t="shared" si="32"/>
        <v/>
      </c>
      <c r="AP102" s="21" t="str">
        <f t="shared" si="33"/>
        <v/>
      </c>
      <c r="AQ102" s="21" t="str">
        <f t="shared" si="34"/>
        <v/>
      </c>
      <c r="AR102" s="21"/>
      <c r="AS102" s="27"/>
      <c r="AT102" s="19"/>
    </row>
    <row r="103" spans="2:46" ht="30" hidden="1" customHeight="1" x14ac:dyDescent="0.25">
      <c r="B103" s="34" t="s">
        <v>254</v>
      </c>
      <c r="C103" s="35">
        <v>0</v>
      </c>
      <c r="D103" s="35">
        <v>1440000</v>
      </c>
      <c r="E103" s="35">
        <v>2718023700</v>
      </c>
      <c r="F103" s="34" t="s">
        <v>255</v>
      </c>
      <c r="K103" s="4" t="s">
        <v>64</v>
      </c>
      <c r="L103" s="26">
        <f t="shared" si="47"/>
        <v>1440000</v>
      </c>
      <c r="M103" s="15" t="str">
        <f t="shared" si="48"/>
        <v>Đúng</v>
      </c>
      <c r="N103" s="21" t="str">
        <f t="shared" si="23"/>
        <v/>
      </c>
      <c r="O103" s="21" t="str">
        <f t="shared" si="24"/>
        <v/>
      </c>
      <c r="P103" s="21"/>
      <c r="Q103" s="18">
        <f t="shared" si="49"/>
        <v>1440000</v>
      </c>
      <c r="R103" s="21" t="str">
        <f t="shared" si="25"/>
        <v/>
      </c>
      <c r="S103" s="21"/>
      <c r="T103" s="21"/>
      <c r="U103" s="21" t="str">
        <f t="shared" si="26"/>
        <v/>
      </c>
      <c r="V103" s="21"/>
      <c r="W103" s="21"/>
      <c r="X103" s="21"/>
      <c r="Y103" s="21"/>
      <c r="Z103" s="21"/>
      <c r="AA103" s="21"/>
      <c r="AB103" s="21"/>
      <c r="AC103" s="21"/>
      <c r="AD103" s="21"/>
      <c r="AE103" s="21"/>
      <c r="AF103" s="21"/>
      <c r="AG103" s="21"/>
      <c r="AH103" s="21" t="str">
        <f t="shared" si="27"/>
        <v/>
      </c>
      <c r="AI103" s="20"/>
      <c r="AJ103" s="21" t="str">
        <f t="shared" si="28"/>
        <v/>
      </c>
      <c r="AK103" s="26"/>
      <c r="AL103" s="21" t="str">
        <f t="shared" si="29"/>
        <v/>
      </c>
      <c r="AM103" s="21" t="str">
        <f t="shared" si="30"/>
        <v/>
      </c>
      <c r="AN103" s="21">
        <f t="shared" si="31"/>
        <v>1440000</v>
      </c>
      <c r="AO103" s="21" t="str">
        <f t="shared" si="32"/>
        <v/>
      </c>
      <c r="AP103" s="21" t="str">
        <f t="shared" si="33"/>
        <v/>
      </c>
      <c r="AQ103" s="21" t="str">
        <f t="shared" si="34"/>
        <v/>
      </c>
      <c r="AR103" s="21"/>
      <c r="AS103" s="27"/>
      <c r="AT103" s="19"/>
    </row>
    <row r="104" spans="2:46" ht="30" hidden="1" customHeight="1" x14ac:dyDescent="0.25">
      <c r="B104" s="34" t="s">
        <v>256</v>
      </c>
      <c r="C104" s="35">
        <v>0</v>
      </c>
      <c r="D104" s="35">
        <v>1440000</v>
      </c>
      <c r="E104" s="35">
        <v>2719463700</v>
      </c>
      <c r="F104" s="34" t="s">
        <v>257</v>
      </c>
      <c r="K104" s="4" t="s">
        <v>64</v>
      </c>
      <c r="L104" s="26">
        <f t="shared" si="47"/>
        <v>1440000</v>
      </c>
      <c r="M104" s="15" t="str">
        <f t="shared" si="48"/>
        <v>Đúng</v>
      </c>
      <c r="N104" s="21" t="str">
        <f t="shared" si="23"/>
        <v/>
      </c>
      <c r="O104" s="21" t="str">
        <f t="shared" si="24"/>
        <v/>
      </c>
      <c r="P104" s="21"/>
      <c r="Q104" s="18">
        <f t="shared" si="49"/>
        <v>1440000</v>
      </c>
      <c r="R104" s="21" t="str">
        <f t="shared" si="25"/>
        <v/>
      </c>
      <c r="S104" s="21"/>
      <c r="T104" s="21"/>
      <c r="U104" s="21" t="str">
        <f t="shared" si="26"/>
        <v/>
      </c>
      <c r="V104" s="21"/>
      <c r="W104" s="21"/>
      <c r="X104" s="21"/>
      <c r="Y104" s="21"/>
      <c r="Z104" s="21"/>
      <c r="AA104" s="21"/>
      <c r="AB104" s="21"/>
      <c r="AC104" s="21"/>
      <c r="AD104" s="21"/>
      <c r="AE104" s="21"/>
      <c r="AF104" s="21"/>
      <c r="AG104" s="21"/>
      <c r="AH104" s="21" t="str">
        <f t="shared" si="27"/>
        <v/>
      </c>
      <c r="AI104" s="20"/>
      <c r="AJ104" s="21" t="str">
        <f t="shared" si="28"/>
        <v/>
      </c>
      <c r="AK104" s="26"/>
      <c r="AL104" s="21" t="str">
        <f t="shared" si="29"/>
        <v/>
      </c>
      <c r="AM104" s="21" t="str">
        <f t="shared" si="30"/>
        <v/>
      </c>
      <c r="AN104" s="21">
        <f t="shared" si="31"/>
        <v>1440000</v>
      </c>
      <c r="AO104" s="21" t="str">
        <f t="shared" si="32"/>
        <v/>
      </c>
      <c r="AP104" s="21" t="str">
        <f t="shared" si="33"/>
        <v/>
      </c>
      <c r="AQ104" s="21" t="str">
        <f t="shared" si="34"/>
        <v/>
      </c>
      <c r="AR104" s="21"/>
      <c r="AS104" s="27"/>
      <c r="AT104" s="19"/>
    </row>
    <row r="105" spans="2:46" ht="30" customHeight="1" x14ac:dyDescent="0.25">
      <c r="B105" s="34" t="s">
        <v>258</v>
      </c>
      <c r="C105" s="35">
        <v>0</v>
      </c>
      <c r="D105" s="35">
        <v>3024000</v>
      </c>
      <c r="E105" s="35">
        <v>2722487700</v>
      </c>
      <c r="F105" s="34" t="s">
        <v>259</v>
      </c>
      <c r="K105" s="4" t="s">
        <v>67</v>
      </c>
      <c r="L105" s="26">
        <f t="shared" si="47"/>
        <v>3024000</v>
      </c>
      <c r="M105" s="15" t="str">
        <f t="shared" si="48"/>
        <v>Đúng</v>
      </c>
      <c r="N105" s="21">
        <f t="shared" si="23"/>
        <v>3024000</v>
      </c>
      <c r="O105" s="21" t="str">
        <f t="shared" si="24"/>
        <v/>
      </c>
      <c r="P105" s="21"/>
      <c r="Q105" s="18">
        <f t="shared" si="49"/>
        <v>3024000</v>
      </c>
      <c r="R105" s="21" t="str">
        <f t="shared" si="25"/>
        <v/>
      </c>
      <c r="S105" s="21"/>
      <c r="T105" s="21"/>
      <c r="U105" s="21" t="str">
        <f t="shared" si="26"/>
        <v/>
      </c>
      <c r="V105" s="21"/>
      <c r="W105" s="21"/>
      <c r="X105" s="21"/>
      <c r="Y105" s="21"/>
      <c r="Z105" s="21"/>
      <c r="AA105" s="21"/>
      <c r="AB105" s="21"/>
      <c r="AC105" s="21"/>
      <c r="AD105" s="21"/>
      <c r="AE105" s="21"/>
      <c r="AF105" s="21"/>
      <c r="AG105" s="21"/>
      <c r="AH105" s="21" t="str">
        <f t="shared" si="27"/>
        <v/>
      </c>
      <c r="AI105" s="20"/>
      <c r="AJ105" s="21" t="str">
        <f t="shared" si="28"/>
        <v/>
      </c>
      <c r="AK105" s="26"/>
      <c r="AL105" s="21" t="str">
        <f t="shared" si="29"/>
        <v/>
      </c>
      <c r="AM105" s="21" t="str">
        <f t="shared" si="30"/>
        <v/>
      </c>
      <c r="AN105" s="21" t="str">
        <f t="shared" si="31"/>
        <v/>
      </c>
      <c r="AO105" s="21" t="str">
        <f t="shared" si="32"/>
        <v/>
      </c>
      <c r="AP105" s="21" t="str">
        <f t="shared" si="33"/>
        <v/>
      </c>
      <c r="AQ105" s="21" t="str">
        <f t="shared" si="34"/>
        <v/>
      </c>
      <c r="AR105" s="21"/>
      <c r="AS105" s="27"/>
      <c r="AT105" s="19"/>
    </row>
    <row r="106" spans="2:46" ht="30" customHeight="1" x14ac:dyDescent="0.25">
      <c r="B106" s="34" t="s">
        <v>260</v>
      </c>
      <c r="C106" s="35">
        <v>0</v>
      </c>
      <c r="D106" s="35">
        <v>8764000</v>
      </c>
      <c r="E106" s="35">
        <v>2731251700</v>
      </c>
      <c r="F106" s="34" t="s">
        <v>261</v>
      </c>
      <c r="K106" s="4" t="s">
        <v>67</v>
      </c>
      <c r="L106" s="26">
        <f t="shared" si="47"/>
        <v>8764000</v>
      </c>
      <c r="M106" s="15" t="str">
        <f t="shared" si="48"/>
        <v>Đúng</v>
      </c>
      <c r="N106" s="21">
        <f t="shared" si="23"/>
        <v>8764000</v>
      </c>
      <c r="O106" s="21" t="str">
        <f t="shared" si="24"/>
        <v/>
      </c>
      <c r="P106" s="21"/>
      <c r="Q106" s="18">
        <f t="shared" si="49"/>
        <v>8764000</v>
      </c>
      <c r="R106" s="21" t="str">
        <f t="shared" si="25"/>
        <v/>
      </c>
      <c r="S106" s="21"/>
      <c r="T106" s="21"/>
      <c r="U106" s="21" t="str">
        <f t="shared" si="26"/>
        <v/>
      </c>
      <c r="V106" s="21"/>
      <c r="W106" s="21"/>
      <c r="X106" s="21"/>
      <c r="Y106" s="21"/>
      <c r="Z106" s="21"/>
      <c r="AA106" s="21"/>
      <c r="AB106" s="21"/>
      <c r="AC106" s="21"/>
      <c r="AD106" s="21"/>
      <c r="AE106" s="21"/>
      <c r="AF106" s="21"/>
      <c r="AG106" s="21"/>
      <c r="AH106" s="21" t="str">
        <f t="shared" si="27"/>
        <v/>
      </c>
      <c r="AI106" s="20"/>
      <c r="AJ106" s="21" t="str">
        <f t="shared" si="28"/>
        <v/>
      </c>
      <c r="AK106" s="26"/>
      <c r="AL106" s="21" t="str">
        <f t="shared" si="29"/>
        <v/>
      </c>
      <c r="AM106" s="21" t="str">
        <f t="shared" si="30"/>
        <v/>
      </c>
      <c r="AN106" s="21" t="str">
        <f t="shared" si="31"/>
        <v/>
      </c>
      <c r="AO106" s="21" t="str">
        <f t="shared" si="32"/>
        <v/>
      </c>
      <c r="AP106" s="21" t="str">
        <f t="shared" si="33"/>
        <v/>
      </c>
      <c r="AQ106" s="21" t="str">
        <f t="shared" si="34"/>
        <v/>
      </c>
      <c r="AR106" s="21"/>
      <c r="AS106" s="27"/>
      <c r="AT106" s="19"/>
    </row>
    <row r="107" spans="2:46" ht="30" hidden="1" customHeight="1" x14ac:dyDescent="0.25">
      <c r="B107" s="34" t="s">
        <v>262</v>
      </c>
      <c r="C107" s="35">
        <v>0</v>
      </c>
      <c r="D107" s="35">
        <v>200000</v>
      </c>
      <c r="E107" s="35">
        <v>2731451700</v>
      </c>
      <c r="F107" s="34" t="s">
        <v>263</v>
      </c>
      <c r="K107" s="4" t="s">
        <v>69</v>
      </c>
      <c r="L107" s="26">
        <f t="shared" si="47"/>
        <v>200000</v>
      </c>
      <c r="M107" s="15" t="str">
        <f t="shared" si="48"/>
        <v>Đúng</v>
      </c>
      <c r="N107" s="21" t="str">
        <f t="shared" si="23"/>
        <v/>
      </c>
      <c r="O107" s="21" t="str">
        <f t="shared" si="24"/>
        <v/>
      </c>
      <c r="P107" s="21"/>
      <c r="Q107" s="18">
        <f t="shared" si="49"/>
        <v>200000</v>
      </c>
      <c r="R107" s="21">
        <f t="shared" si="25"/>
        <v>200000</v>
      </c>
      <c r="S107" s="21"/>
      <c r="T107" s="21"/>
      <c r="U107" s="21" t="str">
        <f t="shared" si="26"/>
        <v/>
      </c>
      <c r="V107" s="21"/>
      <c r="W107" s="21"/>
      <c r="X107" s="21"/>
      <c r="Y107" s="21"/>
      <c r="Z107" s="21"/>
      <c r="AA107" s="21"/>
      <c r="AB107" s="21"/>
      <c r="AC107" s="21"/>
      <c r="AD107" s="21"/>
      <c r="AE107" s="21"/>
      <c r="AF107" s="21"/>
      <c r="AG107" s="21"/>
      <c r="AH107" s="21" t="str">
        <f t="shared" si="27"/>
        <v/>
      </c>
      <c r="AI107" s="20"/>
      <c r="AJ107" s="21" t="str">
        <f t="shared" si="28"/>
        <v/>
      </c>
      <c r="AK107" s="26"/>
      <c r="AL107" s="21" t="str">
        <f t="shared" si="29"/>
        <v/>
      </c>
      <c r="AM107" s="21" t="str">
        <f t="shared" si="30"/>
        <v/>
      </c>
      <c r="AN107" s="21" t="str">
        <f t="shared" si="31"/>
        <v/>
      </c>
      <c r="AO107" s="21" t="str">
        <f t="shared" si="32"/>
        <v/>
      </c>
      <c r="AP107" s="21" t="str">
        <f t="shared" si="33"/>
        <v/>
      </c>
      <c r="AQ107" s="21" t="str">
        <f t="shared" si="34"/>
        <v/>
      </c>
      <c r="AR107" s="21"/>
      <c r="AS107" s="27"/>
      <c r="AT107" s="19"/>
    </row>
    <row r="108" spans="2:46" ht="30" customHeight="1" x14ac:dyDescent="0.25">
      <c r="B108" s="34" t="s">
        <v>264</v>
      </c>
      <c r="C108" s="35">
        <v>0</v>
      </c>
      <c r="D108" s="35">
        <v>9280000</v>
      </c>
      <c r="E108" s="35">
        <v>2740731700</v>
      </c>
      <c r="F108" s="34" t="s">
        <v>265</v>
      </c>
      <c r="K108" s="4" t="s">
        <v>67</v>
      </c>
      <c r="L108" s="26">
        <f t="shared" si="47"/>
        <v>9280000</v>
      </c>
      <c r="M108" s="15" t="str">
        <f t="shared" si="48"/>
        <v>Đúng</v>
      </c>
      <c r="N108" s="21">
        <f t="shared" ref="N108:N171" si="50">IF(ISNUMBER(SEARCH("K49",$K108)),$L108,"")</f>
        <v>9280000</v>
      </c>
      <c r="O108" s="21" t="str">
        <f t="shared" ref="O108:O171" si="51">IF(ISNUMBER(SEARCH("LDLK",$K108)),$L108,"")</f>
        <v/>
      </c>
      <c r="P108" s="21"/>
      <c r="Q108" s="18">
        <f t="shared" si="49"/>
        <v>9280000</v>
      </c>
      <c r="R108" s="21" t="str">
        <f t="shared" ref="R108:R171" si="52">IF(ISNUMBER(SEARCH("LPXT",$K108)),$L108,"")</f>
        <v/>
      </c>
      <c r="S108" s="21"/>
      <c r="T108" s="21"/>
      <c r="U108" s="21" t="str">
        <f t="shared" ref="U108:U171" si="53">IF(ISNUMBER(SEARCH("BHYT",$K108)),$L108,"")</f>
        <v/>
      </c>
      <c r="V108" s="21"/>
      <c r="W108" s="21"/>
      <c r="X108" s="21"/>
      <c r="Y108" s="21"/>
      <c r="Z108" s="21"/>
      <c r="AA108" s="21"/>
      <c r="AB108" s="21"/>
      <c r="AC108" s="21"/>
      <c r="AD108" s="21"/>
      <c r="AE108" s="21"/>
      <c r="AF108" s="21"/>
      <c r="AG108" s="21"/>
      <c r="AH108" s="21" t="str">
        <f t="shared" ref="AH108:AH171" si="54">IF(OR(ISNUMBER(SEARCH("Chuyển nhầm",$K108)),ISNUMBER(SEARCH("NH trả về",$K108))),$L108,"")</f>
        <v/>
      </c>
      <c r="AI108" s="20"/>
      <c r="AJ108" s="21" t="str">
        <f t="shared" ref="AJ108:AJ171" si="55">IF(ISNUMBER(SEARCH("Đặt Cọc",$K108)),$L108,"")</f>
        <v/>
      </c>
      <c r="AK108" s="26"/>
      <c r="AL108" s="21" t="str">
        <f t="shared" ref="AL108:AL171" si="56">IF(OR(ISNUMBER(SEARCH("NVSP",$K108)),ISNUMBER(SEARCH("Ngắn hạn",$K108))),$L108,"")</f>
        <v/>
      </c>
      <c r="AM108" s="21" t="str">
        <f t="shared" ref="AM108:AM171" si="57">IF(ISNUMBER(SEARCH("Doanh Nghiệp TT",$K108)),$L108,"")</f>
        <v/>
      </c>
      <c r="AN108" s="21" t="str">
        <f t="shared" ref="AN108:AN171" si="58">IF(ISNUMBER(SEARCH("Học lại",$K108)),$L108,"")</f>
        <v/>
      </c>
      <c r="AO108" s="21" t="str">
        <f t="shared" ref="AO108:AO171" si="59">IF(ISNUMBER(SEARCH("Lãi tiền gửi",$K108)),$L108,"")</f>
        <v/>
      </c>
      <c r="AP108" s="21" t="str">
        <f t="shared" ref="AP108:AP171" si="60">IF(ISNUMBER(SEARCH("Lãi HĐ",$K108)),$L108,"")</f>
        <v/>
      </c>
      <c r="AQ108" s="21" t="str">
        <f t="shared" ref="AQ108:AQ171" si="61">IF(ISNUMBER(SEARCH("Cô Thương",$K108)),$L108,"")</f>
        <v/>
      </c>
      <c r="AR108" s="21"/>
      <c r="AS108" s="27"/>
      <c r="AT108" s="19"/>
    </row>
    <row r="109" spans="2:46" ht="30" customHeight="1" x14ac:dyDescent="0.25">
      <c r="B109" s="34" t="s">
        <v>266</v>
      </c>
      <c r="C109" s="35">
        <v>0</v>
      </c>
      <c r="D109" s="35">
        <v>3024000</v>
      </c>
      <c r="E109" s="35">
        <v>2743755700</v>
      </c>
      <c r="F109" s="34" t="s">
        <v>267</v>
      </c>
      <c r="K109" s="4" t="s">
        <v>67</v>
      </c>
      <c r="L109" s="26">
        <f t="shared" si="47"/>
        <v>3024000</v>
      </c>
      <c r="M109" s="15" t="str">
        <f t="shared" si="48"/>
        <v>Đúng</v>
      </c>
      <c r="N109" s="21">
        <f t="shared" si="50"/>
        <v>3024000</v>
      </c>
      <c r="O109" s="21" t="str">
        <f t="shared" si="51"/>
        <v/>
      </c>
      <c r="P109" s="21"/>
      <c r="Q109" s="18">
        <f t="shared" si="49"/>
        <v>3024000</v>
      </c>
      <c r="R109" s="21" t="str">
        <f t="shared" si="52"/>
        <v/>
      </c>
      <c r="S109" s="21"/>
      <c r="T109" s="21"/>
      <c r="U109" s="21" t="str">
        <f t="shared" si="53"/>
        <v/>
      </c>
      <c r="V109" s="21"/>
      <c r="W109" s="21"/>
      <c r="X109" s="21"/>
      <c r="Y109" s="21"/>
      <c r="Z109" s="21"/>
      <c r="AA109" s="21"/>
      <c r="AB109" s="21"/>
      <c r="AC109" s="21"/>
      <c r="AD109" s="21"/>
      <c r="AE109" s="21"/>
      <c r="AF109" s="21"/>
      <c r="AG109" s="21"/>
      <c r="AH109" s="21" t="str">
        <f t="shared" si="54"/>
        <v/>
      </c>
      <c r="AI109" s="20"/>
      <c r="AJ109" s="21" t="str">
        <f t="shared" si="55"/>
        <v/>
      </c>
      <c r="AK109" s="26"/>
      <c r="AL109" s="21" t="str">
        <f t="shared" si="56"/>
        <v/>
      </c>
      <c r="AM109" s="21" t="str">
        <f t="shared" si="57"/>
        <v/>
      </c>
      <c r="AN109" s="21" t="str">
        <f t="shared" si="58"/>
        <v/>
      </c>
      <c r="AO109" s="21" t="str">
        <f t="shared" si="59"/>
        <v/>
      </c>
      <c r="AP109" s="21" t="str">
        <f t="shared" si="60"/>
        <v/>
      </c>
      <c r="AQ109" s="21" t="str">
        <f t="shared" si="61"/>
        <v/>
      </c>
      <c r="AR109" s="21"/>
      <c r="AS109" s="27"/>
      <c r="AT109" s="19"/>
    </row>
    <row r="110" spans="2:46" ht="30" customHeight="1" x14ac:dyDescent="0.25">
      <c r="B110" s="34" t="s">
        <v>268</v>
      </c>
      <c r="C110" s="35">
        <v>0</v>
      </c>
      <c r="D110" s="35">
        <v>3024000</v>
      </c>
      <c r="E110" s="35">
        <v>2746779700</v>
      </c>
      <c r="F110" s="34" t="s">
        <v>269</v>
      </c>
      <c r="K110" s="4" t="s">
        <v>67</v>
      </c>
      <c r="L110" s="26">
        <f t="shared" si="47"/>
        <v>3024000</v>
      </c>
      <c r="M110" s="15" t="str">
        <f t="shared" si="48"/>
        <v>Đúng</v>
      </c>
      <c r="N110" s="21">
        <f t="shared" si="50"/>
        <v>3024000</v>
      </c>
      <c r="O110" s="21" t="str">
        <f t="shared" si="51"/>
        <v/>
      </c>
      <c r="P110" s="21"/>
      <c r="Q110" s="18">
        <f t="shared" si="49"/>
        <v>3024000</v>
      </c>
      <c r="R110" s="21" t="str">
        <f t="shared" si="52"/>
        <v/>
      </c>
      <c r="S110" s="21"/>
      <c r="T110" s="21"/>
      <c r="U110" s="21" t="str">
        <f t="shared" si="53"/>
        <v/>
      </c>
      <c r="V110" s="21"/>
      <c r="W110" s="21"/>
      <c r="X110" s="21"/>
      <c r="Y110" s="21"/>
      <c r="Z110" s="21"/>
      <c r="AA110" s="21"/>
      <c r="AB110" s="21"/>
      <c r="AC110" s="21"/>
      <c r="AD110" s="21"/>
      <c r="AE110" s="21"/>
      <c r="AF110" s="21"/>
      <c r="AG110" s="21"/>
      <c r="AH110" s="21" t="str">
        <f t="shared" si="54"/>
        <v/>
      </c>
      <c r="AI110" s="20"/>
      <c r="AJ110" s="21" t="str">
        <f t="shared" si="55"/>
        <v/>
      </c>
      <c r="AK110" s="26"/>
      <c r="AL110" s="21" t="str">
        <f t="shared" si="56"/>
        <v/>
      </c>
      <c r="AM110" s="21" t="str">
        <f t="shared" si="57"/>
        <v/>
      </c>
      <c r="AN110" s="21" t="str">
        <f t="shared" si="58"/>
        <v/>
      </c>
      <c r="AO110" s="21" t="str">
        <f t="shared" si="59"/>
        <v/>
      </c>
      <c r="AP110" s="21" t="str">
        <f t="shared" si="60"/>
        <v/>
      </c>
      <c r="AQ110" s="21" t="str">
        <f t="shared" si="61"/>
        <v/>
      </c>
      <c r="AR110" s="21"/>
      <c r="AS110" s="27"/>
      <c r="AT110" s="19"/>
    </row>
    <row r="111" spans="2:46" ht="30" customHeight="1" x14ac:dyDescent="0.25">
      <c r="B111" s="34" t="s">
        <v>270</v>
      </c>
      <c r="C111" s="35">
        <v>0</v>
      </c>
      <c r="D111" s="35">
        <v>8680000</v>
      </c>
      <c r="E111" s="35">
        <v>2755459700</v>
      </c>
      <c r="F111" s="34" t="s">
        <v>271</v>
      </c>
      <c r="K111" s="4" t="s">
        <v>67</v>
      </c>
      <c r="L111" s="26">
        <f t="shared" si="47"/>
        <v>8680000</v>
      </c>
      <c r="M111" s="15" t="str">
        <f t="shared" si="48"/>
        <v>Đúng</v>
      </c>
      <c r="N111" s="21">
        <f t="shared" si="50"/>
        <v>8680000</v>
      </c>
      <c r="O111" s="21" t="str">
        <f t="shared" si="51"/>
        <v/>
      </c>
      <c r="P111" s="21"/>
      <c r="Q111" s="18">
        <f t="shared" si="49"/>
        <v>8680000</v>
      </c>
      <c r="R111" s="21" t="str">
        <f t="shared" si="52"/>
        <v/>
      </c>
      <c r="S111" s="21"/>
      <c r="T111" s="21"/>
      <c r="U111" s="21" t="str">
        <f t="shared" si="53"/>
        <v/>
      </c>
      <c r="V111" s="21"/>
      <c r="W111" s="21"/>
      <c r="X111" s="21"/>
      <c r="Y111" s="21"/>
      <c r="Z111" s="21"/>
      <c r="AA111" s="21"/>
      <c r="AB111" s="21"/>
      <c r="AC111" s="21"/>
      <c r="AD111" s="21"/>
      <c r="AE111" s="21"/>
      <c r="AF111" s="21"/>
      <c r="AG111" s="21"/>
      <c r="AH111" s="21" t="str">
        <f t="shared" si="54"/>
        <v/>
      </c>
      <c r="AI111" s="20"/>
      <c r="AJ111" s="21" t="str">
        <f t="shared" si="55"/>
        <v/>
      </c>
      <c r="AK111" s="26"/>
      <c r="AL111" s="21" t="str">
        <f t="shared" si="56"/>
        <v/>
      </c>
      <c r="AM111" s="21" t="str">
        <f t="shared" si="57"/>
        <v/>
      </c>
      <c r="AN111" s="21" t="str">
        <f t="shared" si="58"/>
        <v/>
      </c>
      <c r="AO111" s="21" t="str">
        <f t="shared" si="59"/>
        <v/>
      </c>
      <c r="AP111" s="21" t="str">
        <f t="shared" si="60"/>
        <v/>
      </c>
      <c r="AQ111" s="21" t="str">
        <f t="shared" si="61"/>
        <v/>
      </c>
      <c r="AR111" s="21"/>
      <c r="AS111" s="27"/>
      <c r="AT111" s="19"/>
    </row>
    <row r="112" spans="2:46" ht="30" customHeight="1" x14ac:dyDescent="0.25">
      <c r="B112" s="34" t="s">
        <v>272</v>
      </c>
      <c r="C112" s="35">
        <v>0</v>
      </c>
      <c r="D112" s="35">
        <v>7200000</v>
      </c>
      <c r="E112" s="35">
        <v>2762659700</v>
      </c>
      <c r="F112" s="34" t="s">
        <v>273</v>
      </c>
      <c r="K112" s="4" t="s">
        <v>67</v>
      </c>
      <c r="L112" s="26">
        <f t="shared" si="47"/>
        <v>7200000</v>
      </c>
      <c r="M112" s="15" t="str">
        <f t="shared" si="48"/>
        <v>Đúng</v>
      </c>
      <c r="N112" s="21">
        <f t="shared" si="50"/>
        <v>7200000</v>
      </c>
      <c r="O112" s="21" t="str">
        <f t="shared" si="51"/>
        <v/>
      </c>
      <c r="P112" s="21"/>
      <c r="Q112" s="18">
        <f t="shared" si="49"/>
        <v>7200000</v>
      </c>
      <c r="R112" s="21" t="str">
        <f t="shared" si="52"/>
        <v/>
      </c>
      <c r="S112" s="21"/>
      <c r="T112" s="21"/>
      <c r="U112" s="21" t="str">
        <f t="shared" si="53"/>
        <v/>
      </c>
      <c r="V112" s="21"/>
      <c r="W112" s="21"/>
      <c r="X112" s="21"/>
      <c r="Y112" s="21"/>
      <c r="Z112" s="21"/>
      <c r="AA112" s="21"/>
      <c r="AB112" s="21"/>
      <c r="AC112" s="21"/>
      <c r="AD112" s="21"/>
      <c r="AE112" s="21"/>
      <c r="AF112" s="21"/>
      <c r="AG112" s="21"/>
      <c r="AH112" s="21" t="str">
        <f t="shared" si="54"/>
        <v/>
      </c>
      <c r="AI112" s="20"/>
      <c r="AJ112" s="21" t="str">
        <f t="shared" si="55"/>
        <v/>
      </c>
      <c r="AK112" s="26"/>
      <c r="AL112" s="21" t="str">
        <f t="shared" si="56"/>
        <v/>
      </c>
      <c r="AM112" s="21" t="str">
        <f t="shared" si="57"/>
        <v/>
      </c>
      <c r="AN112" s="21" t="str">
        <f t="shared" si="58"/>
        <v/>
      </c>
      <c r="AO112" s="21" t="str">
        <f t="shared" si="59"/>
        <v/>
      </c>
      <c r="AP112" s="21" t="str">
        <f t="shared" si="60"/>
        <v/>
      </c>
      <c r="AQ112" s="21" t="str">
        <f t="shared" si="61"/>
        <v/>
      </c>
      <c r="AR112" s="21"/>
      <c r="AS112" s="27"/>
      <c r="AT112" s="19"/>
    </row>
    <row r="113" spans="2:46" ht="30" customHeight="1" x14ac:dyDescent="0.25">
      <c r="B113" s="34" t="s">
        <v>274</v>
      </c>
      <c r="C113" s="35">
        <v>0</v>
      </c>
      <c r="D113" s="35">
        <v>3024000</v>
      </c>
      <c r="E113" s="35">
        <v>2765683700</v>
      </c>
      <c r="F113" s="34" t="s">
        <v>275</v>
      </c>
      <c r="K113" s="4" t="s">
        <v>67</v>
      </c>
      <c r="L113" s="26">
        <f t="shared" si="47"/>
        <v>3024000</v>
      </c>
      <c r="M113" s="15" t="str">
        <f t="shared" si="48"/>
        <v>Đúng</v>
      </c>
      <c r="N113" s="21">
        <f t="shared" si="50"/>
        <v>3024000</v>
      </c>
      <c r="O113" s="21" t="str">
        <f t="shared" si="51"/>
        <v/>
      </c>
      <c r="P113" s="21"/>
      <c r="Q113" s="18">
        <f t="shared" si="49"/>
        <v>3024000</v>
      </c>
      <c r="R113" s="21" t="str">
        <f t="shared" si="52"/>
        <v/>
      </c>
      <c r="S113" s="21"/>
      <c r="T113" s="21"/>
      <c r="U113" s="21" t="str">
        <f t="shared" si="53"/>
        <v/>
      </c>
      <c r="V113" s="21"/>
      <c r="W113" s="21"/>
      <c r="X113" s="21"/>
      <c r="Y113" s="21"/>
      <c r="Z113" s="21"/>
      <c r="AA113" s="21"/>
      <c r="AB113" s="21"/>
      <c r="AC113" s="21"/>
      <c r="AD113" s="21"/>
      <c r="AE113" s="21"/>
      <c r="AF113" s="21"/>
      <c r="AG113" s="21"/>
      <c r="AH113" s="21" t="str">
        <f t="shared" si="54"/>
        <v/>
      </c>
      <c r="AI113" s="20"/>
      <c r="AJ113" s="21" t="str">
        <f t="shared" si="55"/>
        <v/>
      </c>
      <c r="AK113" s="26"/>
      <c r="AL113" s="21" t="str">
        <f t="shared" si="56"/>
        <v/>
      </c>
      <c r="AM113" s="21" t="str">
        <f t="shared" si="57"/>
        <v/>
      </c>
      <c r="AN113" s="21" t="str">
        <f t="shared" si="58"/>
        <v/>
      </c>
      <c r="AO113" s="21" t="str">
        <f t="shared" si="59"/>
        <v/>
      </c>
      <c r="AP113" s="21" t="str">
        <f t="shared" si="60"/>
        <v/>
      </c>
      <c r="AQ113" s="21" t="str">
        <f t="shared" si="61"/>
        <v/>
      </c>
      <c r="AR113" s="21"/>
      <c r="AS113" s="27"/>
      <c r="AT113" s="19"/>
    </row>
    <row r="114" spans="2:46" ht="30" hidden="1" customHeight="1" x14ac:dyDescent="0.25">
      <c r="B114" s="34" t="s">
        <v>276</v>
      </c>
      <c r="C114" s="35">
        <v>0</v>
      </c>
      <c r="D114" s="35">
        <v>4000000</v>
      </c>
      <c r="E114" s="35">
        <v>2769683700</v>
      </c>
      <c r="F114" s="34" t="s">
        <v>277</v>
      </c>
      <c r="K114" s="4" t="s">
        <v>64</v>
      </c>
      <c r="L114" s="26">
        <f t="shared" si="47"/>
        <v>4000000</v>
      </c>
      <c r="M114" s="15" t="str">
        <f t="shared" si="48"/>
        <v>Đúng</v>
      </c>
      <c r="N114" s="21" t="str">
        <f t="shared" si="50"/>
        <v/>
      </c>
      <c r="O114" s="21" t="str">
        <f t="shared" si="51"/>
        <v/>
      </c>
      <c r="P114" s="21"/>
      <c r="Q114" s="18">
        <f t="shared" si="49"/>
        <v>4000000</v>
      </c>
      <c r="R114" s="21" t="str">
        <f t="shared" si="52"/>
        <v/>
      </c>
      <c r="S114" s="21"/>
      <c r="T114" s="21"/>
      <c r="U114" s="21" t="str">
        <f t="shared" si="53"/>
        <v/>
      </c>
      <c r="V114" s="21"/>
      <c r="W114" s="21"/>
      <c r="X114" s="21"/>
      <c r="Y114" s="21"/>
      <c r="Z114" s="21"/>
      <c r="AA114" s="21"/>
      <c r="AB114" s="21"/>
      <c r="AC114" s="21"/>
      <c r="AD114" s="21"/>
      <c r="AE114" s="21"/>
      <c r="AF114" s="21"/>
      <c r="AG114" s="21"/>
      <c r="AH114" s="21" t="str">
        <f t="shared" si="54"/>
        <v/>
      </c>
      <c r="AI114" s="20"/>
      <c r="AJ114" s="21" t="str">
        <f t="shared" si="55"/>
        <v/>
      </c>
      <c r="AK114" s="26"/>
      <c r="AL114" s="21" t="str">
        <f t="shared" si="56"/>
        <v/>
      </c>
      <c r="AM114" s="21" t="str">
        <f t="shared" si="57"/>
        <v/>
      </c>
      <c r="AN114" s="21">
        <f t="shared" si="58"/>
        <v>4000000</v>
      </c>
      <c r="AO114" s="21" t="str">
        <f t="shared" si="59"/>
        <v/>
      </c>
      <c r="AP114" s="21" t="str">
        <f t="shared" si="60"/>
        <v/>
      </c>
      <c r="AQ114" s="21" t="str">
        <f t="shared" si="61"/>
        <v/>
      </c>
      <c r="AR114" s="21"/>
      <c r="AS114" s="27"/>
      <c r="AT114" s="19"/>
    </row>
    <row r="115" spans="2:46" ht="30" hidden="1" customHeight="1" x14ac:dyDescent="0.25">
      <c r="B115" s="34" t="s">
        <v>278</v>
      </c>
      <c r="C115" s="35">
        <v>0</v>
      </c>
      <c r="D115" s="35">
        <v>200000</v>
      </c>
      <c r="E115" s="35">
        <v>2769883700</v>
      </c>
      <c r="F115" s="34" t="s">
        <v>279</v>
      </c>
      <c r="K115" s="4" t="s">
        <v>69</v>
      </c>
      <c r="L115" s="26">
        <f t="shared" si="47"/>
        <v>200000</v>
      </c>
      <c r="M115" s="15" t="str">
        <f t="shared" si="48"/>
        <v>Đúng</v>
      </c>
      <c r="N115" s="21" t="str">
        <f t="shared" si="50"/>
        <v/>
      </c>
      <c r="O115" s="21" t="str">
        <f t="shared" si="51"/>
        <v/>
      </c>
      <c r="P115" s="21"/>
      <c r="Q115" s="18">
        <f t="shared" si="49"/>
        <v>200000</v>
      </c>
      <c r="R115" s="21">
        <f t="shared" si="52"/>
        <v>200000</v>
      </c>
      <c r="S115" s="21"/>
      <c r="T115" s="21"/>
      <c r="U115" s="21" t="str">
        <f t="shared" si="53"/>
        <v/>
      </c>
      <c r="V115" s="21"/>
      <c r="W115" s="21"/>
      <c r="X115" s="21"/>
      <c r="Y115" s="21"/>
      <c r="Z115" s="21"/>
      <c r="AA115" s="21"/>
      <c r="AB115" s="21"/>
      <c r="AC115" s="21"/>
      <c r="AD115" s="21"/>
      <c r="AE115" s="21"/>
      <c r="AF115" s="21"/>
      <c r="AG115" s="21"/>
      <c r="AH115" s="21" t="str">
        <f t="shared" si="54"/>
        <v/>
      </c>
      <c r="AI115" s="20"/>
      <c r="AJ115" s="21" t="str">
        <f t="shared" si="55"/>
        <v/>
      </c>
      <c r="AK115" s="26"/>
      <c r="AL115" s="21" t="str">
        <f t="shared" si="56"/>
        <v/>
      </c>
      <c r="AM115" s="21" t="str">
        <f t="shared" si="57"/>
        <v/>
      </c>
      <c r="AN115" s="21" t="str">
        <f t="shared" si="58"/>
        <v/>
      </c>
      <c r="AO115" s="21" t="str">
        <f t="shared" si="59"/>
        <v/>
      </c>
      <c r="AP115" s="21" t="str">
        <f t="shared" si="60"/>
        <v/>
      </c>
      <c r="AQ115" s="21" t="str">
        <f t="shared" si="61"/>
        <v/>
      </c>
      <c r="AR115" s="21"/>
      <c r="AS115" s="27"/>
      <c r="AT115" s="19"/>
    </row>
    <row r="116" spans="2:46" ht="30" customHeight="1" x14ac:dyDescent="0.25">
      <c r="B116" s="34" t="s">
        <v>280</v>
      </c>
      <c r="C116" s="35">
        <v>0</v>
      </c>
      <c r="D116" s="35">
        <v>3024000</v>
      </c>
      <c r="E116" s="35">
        <v>2772907700</v>
      </c>
      <c r="F116" s="34" t="s">
        <v>281</v>
      </c>
      <c r="K116" s="4" t="s">
        <v>67</v>
      </c>
      <c r="L116" s="26">
        <f t="shared" si="47"/>
        <v>3024000</v>
      </c>
      <c r="M116" s="15" t="str">
        <f t="shared" si="48"/>
        <v>Đúng</v>
      </c>
      <c r="N116" s="21">
        <f t="shared" si="50"/>
        <v>3024000</v>
      </c>
      <c r="O116" s="21" t="str">
        <f t="shared" si="51"/>
        <v/>
      </c>
      <c r="P116" s="21"/>
      <c r="Q116" s="18">
        <f t="shared" si="49"/>
        <v>3024000</v>
      </c>
      <c r="R116" s="21" t="str">
        <f t="shared" si="52"/>
        <v/>
      </c>
      <c r="S116" s="21"/>
      <c r="T116" s="21"/>
      <c r="U116" s="21" t="str">
        <f t="shared" si="53"/>
        <v/>
      </c>
      <c r="V116" s="21"/>
      <c r="W116" s="21"/>
      <c r="X116" s="21"/>
      <c r="Y116" s="21"/>
      <c r="Z116" s="21"/>
      <c r="AA116" s="21"/>
      <c r="AB116" s="21"/>
      <c r="AC116" s="21"/>
      <c r="AD116" s="21"/>
      <c r="AE116" s="21"/>
      <c r="AF116" s="21"/>
      <c r="AG116" s="21"/>
      <c r="AH116" s="21" t="str">
        <f t="shared" si="54"/>
        <v/>
      </c>
      <c r="AI116" s="20"/>
      <c r="AJ116" s="21" t="str">
        <f t="shared" si="55"/>
        <v/>
      </c>
      <c r="AK116" s="26"/>
      <c r="AL116" s="21" t="str">
        <f t="shared" si="56"/>
        <v/>
      </c>
      <c r="AM116" s="21" t="str">
        <f t="shared" si="57"/>
        <v/>
      </c>
      <c r="AN116" s="21" t="str">
        <f t="shared" si="58"/>
        <v/>
      </c>
      <c r="AO116" s="21" t="str">
        <f t="shared" si="59"/>
        <v/>
      </c>
      <c r="AP116" s="21" t="str">
        <f t="shared" si="60"/>
        <v/>
      </c>
      <c r="AQ116" s="21" t="str">
        <f t="shared" si="61"/>
        <v/>
      </c>
      <c r="AR116" s="21"/>
      <c r="AS116" s="27"/>
      <c r="AT116" s="19"/>
    </row>
    <row r="117" spans="2:46" ht="30" hidden="1" customHeight="1" x14ac:dyDescent="0.25">
      <c r="B117" s="34" t="s">
        <v>282</v>
      </c>
      <c r="C117" s="35">
        <v>0</v>
      </c>
      <c r="D117" s="35">
        <v>200000</v>
      </c>
      <c r="E117" s="35">
        <v>2773107700</v>
      </c>
      <c r="F117" s="34" t="s">
        <v>283</v>
      </c>
      <c r="K117" s="4" t="s">
        <v>69</v>
      </c>
      <c r="L117" s="26">
        <f t="shared" si="47"/>
        <v>200000</v>
      </c>
      <c r="M117" s="15" t="str">
        <f t="shared" si="48"/>
        <v>Đúng</v>
      </c>
      <c r="N117" s="21" t="str">
        <f t="shared" si="50"/>
        <v/>
      </c>
      <c r="O117" s="21" t="str">
        <f t="shared" si="51"/>
        <v/>
      </c>
      <c r="P117" s="21"/>
      <c r="Q117" s="18">
        <f t="shared" si="49"/>
        <v>200000</v>
      </c>
      <c r="R117" s="21">
        <f t="shared" si="52"/>
        <v>200000</v>
      </c>
      <c r="S117" s="21"/>
      <c r="T117" s="21"/>
      <c r="U117" s="21" t="str">
        <f t="shared" si="53"/>
        <v/>
      </c>
      <c r="V117" s="21"/>
      <c r="W117" s="21"/>
      <c r="X117" s="21"/>
      <c r="Y117" s="21"/>
      <c r="Z117" s="21"/>
      <c r="AA117" s="21"/>
      <c r="AB117" s="21"/>
      <c r="AC117" s="21"/>
      <c r="AD117" s="21"/>
      <c r="AE117" s="21"/>
      <c r="AF117" s="21"/>
      <c r="AG117" s="21"/>
      <c r="AH117" s="21" t="str">
        <f t="shared" si="54"/>
        <v/>
      </c>
      <c r="AI117" s="20"/>
      <c r="AJ117" s="21" t="str">
        <f t="shared" si="55"/>
        <v/>
      </c>
      <c r="AK117" s="26"/>
      <c r="AL117" s="21" t="str">
        <f t="shared" si="56"/>
        <v/>
      </c>
      <c r="AM117" s="21" t="str">
        <f t="shared" si="57"/>
        <v/>
      </c>
      <c r="AN117" s="21" t="str">
        <f t="shared" si="58"/>
        <v/>
      </c>
      <c r="AO117" s="21" t="str">
        <f t="shared" si="59"/>
        <v/>
      </c>
      <c r="AP117" s="21" t="str">
        <f t="shared" si="60"/>
        <v/>
      </c>
      <c r="AQ117" s="21" t="str">
        <f t="shared" si="61"/>
        <v/>
      </c>
      <c r="AR117" s="21"/>
      <c r="AS117" s="27"/>
      <c r="AT117" s="19"/>
    </row>
    <row r="118" spans="2:46" ht="30" customHeight="1" x14ac:dyDescent="0.25">
      <c r="B118" s="34" t="s">
        <v>284</v>
      </c>
      <c r="C118" s="35">
        <v>0</v>
      </c>
      <c r="D118" s="35">
        <v>3024000</v>
      </c>
      <c r="E118" s="35">
        <v>2776131700</v>
      </c>
      <c r="F118" s="34" t="s">
        <v>285</v>
      </c>
      <c r="K118" s="4" t="s">
        <v>67</v>
      </c>
      <c r="L118" s="26">
        <f t="shared" si="47"/>
        <v>3024000</v>
      </c>
      <c r="M118" s="15" t="str">
        <f t="shared" si="48"/>
        <v>Đúng</v>
      </c>
      <c r="N118" s="21">
        <f t="shared" si="50"/>
        <v>3024000</v>
      </c>
      <c r="O118" s="21" t="str">
        <f t="shared" si="51"/>
        <v/>
      </c>
      <c r="P118" s="21"/>
      <c r="Q118" s="18">
        <f t="shared" si="49"/>
        <v>3024000</v>
      </c>
      <c r="R118" s="21" t="str">
        <f t="shared" si="52"/>
        <v/>
      </c>
      <c r="S118" s="21"/>
      <c r="T118" s="21"/>
      <c r="U118" s="21" t="str">
        <f t="shared" si="53"/>
        <v/>
      </c>
      <c r="V118" s="21"/>
      <c r="W118" s="21"/>
      <c r="X118" s="21"/>
      <c r="Y118" s="21"/>
      <c r="Z118" s="21"/>
      <c r="AA118" s="21"/>
      <c r="AB118" s="21"/>
      <c r="AC118" s="21"/>
      <c r="AD118" s="21"/>
      <c r="AE118" s="21"/>
      <c r="AF118" s="21"/>
      <c r="AG118" s="21"/>
      <c r="AH118" s="21" t="str">
        <f t="shared" si="54"/>
        <v/>
      </c>
      <c r="AI118" s="20"/>
      <c r="AJ118" s="21" t="str">
        <f t="shared" si="55"/>
        <v/>
      </c>
      <c r="AK118" s="26"/>
      <c r="AL118" s="21" t="str">
        <f t="shared" si="56"/>
        <v/>
      </c>
      <c r="AM118" s="21" t="str">
        <f t="shared" si="57"/>
        <v/>
      </c>
      <c r="AN118" s="21" t="str">
        <f t="shared" si="58"/>
        <v/>
      </c>
      <c r="AO118" s="21" t="str">
        <f t="shared" si="59"/>
        <v/>
      </c>
      <c r="AP118" s="21" t="str">
        <f t="shared" si="60"/>
        <v/>
      </c>
      <c r="AQ118" s="21" t="str">
        <f t="shared" si="61"/>
        <v/>
      </c>
      <c r="AR118" s="21"/>
      <c r="AS118" s="27"/>
      <c r="AT118" s="19"/>
    </row>
    <row r="119" spans="2:46" ht="30" hidden="1" customHeight="1" x14ac:dyDescent="0.25">
      <c r="B119" s="34" t="s">
        <v>286</v>
      </c>
      <c r="C119" s="35">
        <v>0</v>
      </c>
      <c r="D119" s="35">
        <v>1080000</v>
      </c>
      <c r="E119" s="35">
        <v>2777211700</v>
      </c>
      <c r="F119" s="34" t="s">
        <v>287</v>
      </c>
      <c r="K119" s="4" t="s">
        <v>64</v>
      </c>
      <c r="L119" s="26">
        <f t="shared" si="47"/>
        <v>1080000</v>
      </c>
      <c r="M119" s="15" t="str">
        <f t="shared" si="48"/>
        <v>Đúng</v>
      </c>
      <c r="N119" s="21" t="str">
        <f t="shared" si="50"/>
        <v/>
      </c>
      <c r="O119" s="21" t="str">
        <f t="shared" si="51"/>
        <v/>
      </c>
      <c r="P119" s="21"/>
      <c r="Q119" s="18">
        <f t="shared" si="49"/>
        <v>1080000</v>
      </c>
      <c r="R119" s="21" t="str">
        <f t="shared" si="52"/>
        <v/>
      </c>
      <c r="S119" s="21"/>
      <c r="T119" s="21"/>
      <c r="U119" s="21" t="str">
        <f t="shared" si="53"/>
        <v/>
      </c>
      <c r="V119" s="21"/>
      <c r="W119" s="21"/>
      <c r="X119" s="21"/>
      <c r="Y119" s="21"/>
      <c r="Z119" s="21"/>
      <c r="AA119" s="21"/>
      <c r="AB119" s="21"/>
      <c r="AC119" s="21"/>
      <c r="AD119" s="21"/>
      <c r="AE119" s="21"/>
      <c r="AF119" s="21"/>
      <c r="AG119" s="21"/>
      <c r="AH119" s="21" t="str">
        <f t="shared" si="54"/>
        <v/>
      </c>
      <c r="AI119" s="20"/>
      <c r="AJ119" s="21" t="str">
        <f t="shared" si="55"/>
        <v/>
      </c>
      <c r="AK119" s="26"/>
      <c r="AL119" s="21" t="str">
        <f t="shared" si="56"/>
        <v/>
      </c>
      <c r="AM119" s="21" t="str">
        <f t="shared" si="57"/>
        <v/>
      </c>
      <c r="AN119" s="21">
        <f t="shared" si="58"/>
        <v>1080000</v>
      </c>
      <c r="AO119" s="21" t="str">
        <f t="shared" si="59"/>
        <v/>
      </c>
      <c r="AP119" s="21" t="str">
        <f t="shared" si="60"/>
        <v/>
      </c>
      <c r="AQ119" s="21" t="str">
        <f t="shared" si="61"/>
        <v/>
      </c>
      <c r="AR119" s="21"/>
      <c r="AS119" s="27"/>
      <c r="AT119" s="19"/>
    </row>
    <row r="120" spans="2:46" ht="30" customHeight="1" x14ac:dyDescent="0.25">
      <c r="B120" s="34" t="s">
        <v>288</v>
      </c>
      <c r="C120" s="35">
        <v>0</v>
      </c>
      <c r="D120" s="35">
        <v>3024000</v>
      </c>
      <c r="E120" s="35">
        <v>2780235700</v>
      </c>
      <c r="F120" s="34" t="s">
        <v>289</v>
      </c>
      <c r="K120" s="4" t="s">
        <v>67</v>
      </c>
      <c r="L120" s="26">
        <f t="shared" si="47"/>
        <v>3024000</v>
      </c>
      <c r="M120" s="15" t="str">
        <f t="shared" si="48"/>
        <v>Đúng</v>
      </c>
      <c r="N120" s="21">
        <f t="shared" si="50"/>
        <v>3024000</v>
      </c>
      <c r="O120" s="21" t="str">
        <f t="shared" si="51"/>
        <v/>
      </c>
      <c r="P120" s="21"/>
      <c r="Q120" s="18">
        <f t="shared" si="49"/>
        <v>3024000</v>
      </c>
      <c r="R120" s="21" t="str">
        <f t="shared" si="52"/>
        <v/>
      </c>
      <c r="S120" s="21"/>
      <c r="T120" s="21"/>
      <c r="U120" s="21" t="str">
        <f t="shared" si="53"/>
        <v/>
      </c>
      <c r="V120" s="21"/>
      <c r="W120" s="21"/>
      <c r="X120" s="21"/>
      <c r="Y120" s="21"/>
      <c r="Z120" s="21"/>
      <c r="AA120" s="21"/>
      <c r="AB120" s="21"/>
      <c r="AC120" s="21"/>
      <c r="AD120" s="21"/>
      <c r="AE120" s="21"/>
      <c r="AF120" s="21"/>
      <c r="AG120" s="21"/>
      <c r="AH120" s="21" t="str">
        <f t="shared" si="54"/>
        <v/>
      </c>
      <c r="AI120" s="20"/>
      <c r="AJ120" s="21" t="str">
        <f t="shared" si="55"/>
        <v/>
      </c>
      <c r="AK120" s="26"/>
      <c r="AL120" s="21" t="str">
        <f t="shared" si="56"/>
        <v/>
      </c>
      <c r="AM120" s="21" t="str">
        <f t="shared" si="57"/>
        <v/>
      </c>
      <c r="AN120" s="21" t="str">
        <f t="shared" si="58"/>
        <v/>
      </c>
      <c r="AO120" s="21" t="str">
        <f t="shared" si="59"/>
        <v/>
      </c>
      <c r="AP120" s="21" t="str">
        <f t="shared" si="60"/>
        <v/>
      </c>
      <c r="AQ120" s="21" t="str">
        <f t="shared" si="61"/>
        <v/>
      </c>
      <c r="AR120" s="21"/>
      <c r="AS120" s="27"/>
      <c r="AT120" s="19"/>
    </row>
    <row r="121" spans="2:46" ht="30" hidden="1" customHeight="1" x14ac:dyDescent="0.25">
      <c r="B121" s="34" t="s">
        <v>290</v>
      </c>
      <c r="C121" s="35">
        <v>0</v>
      </c>
      <c r="D121" s="35">
        <v>200000</v>
      </c>
      <c r="E121" s="35">
        <v>2780435700</v>
      </c>
      <c r="F121" s="34" t="s">
        <v>291</v>
      </c>
      <c r="K121" s="4" t="s">
        <v>69</v>
      </c>
      <c r="L121" s="26">
        <f t="shared" si="47"/>
        <v>200000</v>
      </c>
      <c r="M121" s="15" t="str">
        <f t="shared" si="48"/>
        <v>Đúng</v>
      </c>
      <c r="N121" s="21" t="str">
        <f t="shared" si="50"/>
        <v/>
      </c>
      <c r="O121" s="21" t="str">
        <f t="shared" si="51"/>
        <v/>
      </c>
      <c r="P121" s="21"/>
      <c r="Q121" s="18">
        <f t="shared" si="49"/>
        <v>200000</v>
      </c>
      <c r="R121" s="21">
        <f t="shared" si="52"/>
        <v>200000</v>
      </c>
      <c r="S121" s="21"/>
      <c r="T121" s="21"/>
      <c r="U121" s="21" t="str">
        <f t="shared" si="53"/>
        <v/>
      </c>
      <c r="V121" s="21"/>
      <c r="W121" s="21"/>
      <c r="X121" s="21"/>
      <c r="Y121" s="21"/>
      <c r="Z121" s="21"/>
      <c r="AA121" s="21"/>
      <c r="AB121" s="21"/>
      <c r="AC121" s="21"/>
      <c r="AD121" s="21"/>
      <c r="AE121" s="21"/>
      <c r="AF121" s="21"/>
      <c r="AG121" s="21"/>
      <c r="AH121" s="21" t="str">
        <f t="shared" si="54"/>
        <v/>
      </c>
      <c r="AI121" s="20"/>
      <c r="AJ121" s="21" t="str">
        <f t="shared" si="55"/>
        <v/>
      </c>
      <c r="AK121" s="26"/>
      <c r="AL121" s="21" t="str">
        <f t="shared" si="56"/>
        <v/>
      </c>
      <c r="AM121" s="21" t="str">
        <f t="shared" si="57"/>
        <v/>
      </c>
      <c r="AN121" s="21" t="str">
        <f t="shared" si="58"/>
        <v/>
      </c>
      <c r="AO121" s="21" t="str">
        <f t="shared" si="59"/>
        <v/>
      </c>
      <c r="AP121" s="21" t="str">
        <f t="shared" si="60"/>
        <v/>
      </c>
      <c r="AQ121" s="21" t="str">
        <f t="shared" si="61"/>
        <v/>
      </c>
      <c r="AR121" s="21"/>
      <c r="AS121" s="27"/>
      <c r="AT121" s="19"/>
    </row>
    <row r="122" spans="2:46" ht="30" customHeight="1" x14ac:dyDescent="0.25">
      <c r="B122" s="34" t="s">
        <v>292</v>
      </c>
      <c r="C122" s="35">
        <v>0</v>
      </c>
      <c r="D122" s="35">
        <v>3024000</v>
      </c>
      <c r="E122" s="35">
        <v>2783459700</v>
      </c>
      <c r="F122" s="34" t="s">
        <v>293</v>
      </c>
      <c r="K122" s="4" t="s">
        <v>67</v>
      </c>
      <c r="L122" s="26">
        <f t="shared" si="47"/>
        <v>3024000</v>
      </c>
      <c r="M122" s="15" t="str">
        <f t="shared" si="48"/>
        <v>Đúng</v>
      </c>
      <c r="N122" s="21">
        <f t="shared" si="50"/>
        <v>3024000</v>
      </c>
      <c r="O122" s="21" t="str">
        <f t="shared" si="51"/>
        <v/>
      </c>
      <c r="P122" s="21"/>
      <c r="Q122" s="18">
        <f t="shared" si="49"/>
        <v>3024000</v>
      </c>
      <c r="R122" s="21" t="str">
        <f t="shared" si="52"/>
        <v/>
      </c>
      <c r="S122" s="21"/>
      <c r="T122" s="21"/>
      <c r="U122" s="21" t="str">
        <f t="shared" si="53"/>
        <v/>
      </c>
      <c r="V122" s="21"/>
      <c r="W122" s="21"/>
      <c r="X122" s="21"/>
      <c r="Y122" s="21"/>
      <c r="Z122" s="21"/>
      <c r="AA122" s="21"/>
      <c r="AB122" s="21"/>
      <c r="AC122" s="21"/>
      <c r="AD122" s="21"/>
      <c r="AE122" s="21"/>
      <c r="AF122" s="21"/>
      <c r="AG122" s="21"/>
      <c r="AH122" s="21" t="str">
        <f t="shared" si="54"/>
        <v/>
      </c>
      <c r="AI122" s="20"/>
      <c r="AJ122" s="21" t="str">
        <f t="shared" si="55"/>
        <v/>
      </c>
      <c r="AK122" s="26"/>
      <c r="AL122" s="21" t="str">
        <f t="shared" si="56"/>
        <v/>
      </c>
      <c r="AM122" s="21" t="str">
        <f t="shared" si="57"/>
        <v/>
      </c>
      <c r="AN122" s="21" t="str">
        <f t="shared" si="58"/>
        <v/>
      </c>
      <c r="AO122" s="21" t="str">
        <f t="shared" si="59"/>
        <v/>
      </c>
      <c r="AP122" s="21" t="str">
        <f t="shared" si="60"/>
        <v/>
      </c>
      <c r="AQ122" s="21" t="str">
        <f t="shared" si="61"/>
        <v/>
      </c>
      <c r="AR122" s="21"/>
      <c r="AS122" s="27"/>
      <c r="AT122" s="19"/>
    </row>
    <row r="123" spans="2:46" ht="30" customHeight="1" x14ac:dyDescent="0.25">
      <c r="B123" s="34" t="s">
        <v>294</v>
      </c>
      <c r="C123" s="35">
        <v>0</v>
      </c>
      <c r="D123" s="35">
        <v>3000024</v>
      </c>
      <c r="E123" s="35">
        <v>2786459724</v>
      </c>
      <c r="F123" s="34" t="s">
        <v>295</v>
      </c>
      <c r="K123" s="4" t="s">
        <v>67</v>
      </c>
      <c r="L123" s="26">
        <f t="shared" si="47"/>
        <v>3000024</v>
      </c>
      <c r="M123" s="15" t="str">
        <f t="shared" si="48"/>
        <v>Đúng</v>
      </c>
      <c r="N123" s="21">
        <f t="shared" si="50"/>
        <v>3000024</v>
      </c>
      <c r="O123" s="21" t="str">
        <f t="shared" si="51"/>
        <v/>
      </c>
      <c r="P123" s="21"/>
      <c r="Q123" s="18">
        <f t="shared" si="49"/>
        <v>3000024</v>
      </c>
      <c r="R123" s="21" t="str">
        <f t="shared" si="52"/>
        <v/>
      </c>
      <c r="S123" s="21"/>
      <c r="T123" s="21"/>
      <c r="U123" s="21" t="str">
        <f t="shared" si="53"/>
        <v/>
      </c>
      <c r="V123" s="21"/>
      <c r="W123" s="21"/>
      <c r="X123" s="21"/>
      <c r="Y123" s="21"/>
      <c r="Z123" s="21"/>
      <c r="AA123" s="21"/>
      <c r="AB123" s="21"/>
      <c r="AC123" s="21"/>
      <c r="AD123" s="21"/>
      <c r="AE123" s="21"/>
      <c r="AF123" s="21"/>
      <c r="AG123" s="21"/>
      <c r="AH123" s="21" t="str">
        <f t="shared" si="54"/>
        <v/>
      </c>
      <c r="AI123" s="20"/>
      <c r="AJ123" s="21" t="str">
        <f t="shared" si="55"/>
        <v/>
      </c>
      <c r="AK123" s="26"/>
      <c r="AL123" s="21" t="str">
        <f t="shared" si="56"/>
        <v/>
      </c>
      <c r="AM123" s="21" t="str">
        <f t="shared" si="57"/>
        <v/>
      </c>
      <c r="AN123" s="21" t="str">
        <f t="shared" si="58"/>
        <v/>
      </c>
      <c r="AO123" s="21" t="str">
        <f t="shared" si="59"/>
        <v/>
      </c>
      <c r="AP123" s="21" t="str">
        <f t="shared" si="60"/>
        <v/>
      </c>
      <c r="AQ123" s="21" t="str">
        <f t="shared" si="61"/>
        <v/>
      </c>
      <c r="AR123" s="21"/>
      <c r="AS123" s="27"/>
      <c r="AT123" s="19"/>
    </row>
    <row r="124" spans="2:46" ht="30" customHeight="1" x14ac:dyDescent="0.25">
      <c r="B124" s="34" t="s">
        <v>296</v>
      </c>
      <c r="C124" s="35">
        <v>0</v>
      </c>
      <c r="D124" s="35">
        <v>3024000</v>
      </c>
      <c r="E124" s="35">
        <v>2789483724</v>
      </c>
      <c r="F124" s="34" t="s">
        <v>297</v>
      </c>
      <c r="K124" s="4" t="s">
        <v>67</v>
      </c>
      <c r="L124" s="26">
        <f t="shared" si="47"/>
        <v>3024000</v>
      </c>
      <c r="M124" s="15" t="str">
        <f t="shared" si="48"/>
        <v>Đúng</v>
      </c>
      <c r="N124" s="21">
        <f t="shared" si="50"/>
        <v>3024000</v>
      </c>
      <c r="O124" s="21" t="str">
        <f t="shared" si="51"/>
        <v/>
      </c>
      <c r="P124" s="21"/>
      <c r="Q124" s="18">
        <f t="shared" si="49"/>
        <v>3024000</v>
      </c>
      <c r="R124" s="21" t="str">
        <f t="shared" si="52"/>
        <v/>
      </c>
      <c r="S124" s="21"/>
      <c r="T124" s="21"/>
      <c r="U124" s="21" t="str">
        <f t="shared" si="53"/>
        <v/>
      </c>
      <c r="V124" s="21"/>
      <c r="W124" s="21"/>
      <c r="X124" s="21"/>
      <c r="Y124" s="21"/>
      <c r="Z124" s="21"/>
      <c r="AA124" s="21"/>
      <c r="AB124" s="21"/>
      <c r="AC124" s="21"/>
      <c r="AD124" s="21"/>
      <c r="AE124" s="21"/>
      <c r="AF124" s="21"/>
      <c r="AG124" s="21"/>
      <c r="AH124" s="21" t="str">
        <f t="shared" si="54"/>
        <v/>
      </c>
      <c r="AI124" s="20"/>
      <c r="AJ124" s="21" t="str">
        <f t="shared" si="55"/>
        <v/>
      </c>
      <c r="AK124" s="26"/>
      <c r="AL124" s="21" t="str">
        <f t="shared" si="56"/>
        <v/>
      </c>
      <c r="AM124" s="21" t="str">
        <f t="shared" si="57"/>
        <v/>
      </c>
      <c r="AN124" s="21" t="str">
        <f t="shared" si="58"/>
        <v/>
      </c>
      <c r="AO124" s="21" t="str">
        <f t="shared" si="59"/>
        <v/>
      </c>
      <c r="AP124" s="21" t="str">
        <f t="shared" si="60"/>
        <v/>
      </c>
      <c r="AQ124" s="21" t="str">
        <f t="shared" si="61"/>
        <v/>
      </c>
      <c r="AR124" s="21"/>
      <c r="AS124" s="27"/>
      <c r="AT124" s="19"/>
    </row>
    <row r="125" spans="2:46" ht="30" customHeight="1" x14ac:dyDescent="0.25">
      <c r="B125" s="34" t="s">
        <v>298</v>
      </c>
      <c r="C125" s="35">
        <v>0</v>
      </c>
      <c r="D125" s="35">
        <v>7200000</v>
      </c>
      <c r="E125" s="35">
        <v>2796683724</v>
      </c>
      <c r="F125" s="34" t="s">
        <v>299</v>
      </c>
      <c r="K125" s="4" t="s">
        <v>67</v>
      </c>
      <c r="L125" s="26">
        <f t="shared" si="47"/>
        <v>7200000</v>
      </c>
      <c r="M125" s="15" t="str">
        <f t="shared" si="48"/>
        <v>Đúng</v>
      </c>
      <c r="N125" s="21">
        <f t="shared" si="50"/>
        <v>7200000</v>
      </c>
      <c r="O125" s="21" t="str">
        <f t="shared" si="51"/>
        <v/>
      </c>
      <c r="P125" s="21"/>
      <c r="Q125" s="18">
        <f t="shared" si="49"/>
        <v>7200000</v>
      </c>
      <c r="R125" s="21" t="str">
        <f t="shared" si="52"/>
        <v/>
      </c>
      <c r="S125" s="21"/>
      <c r="T125" s="21"/>
      <c r="U125" s="21" t="str">
        <f t="shared" si="53"/>
        <v/>
      </c>
      <c r="V125" s="21"/>
      <c r="W125" s="21"/>
      <c r="X125" s="21"/>
      <c r="Y125" s="21"/>
      <c r="Z125" s="21"/>
      <c r="AA125" s="21"/>
      <c r="AB125" s="21"/>
      <c r="AC125" s="21"/>
      <c r="AD125" s="21"/>
      <c r="AE125" s="21"/>
      <c r="AF125" s="21"/>
      <c r="AG125" s="21"/>
      <c r="AH125" s="21" t="str">
        <f t="shared" si="54"/>
        <v/>
      </c>
      <c r="AI125" s="20"/>
      <c r="AJ125" s="21" t="str">
        <f t="shared" si="55"/>
        <v/>
      </c>
      <c r="AK125" s="26"/>
      <c r="AL125" s="21" t="str">
        <f t="shared" si="56"/>
        <v/>
      </c>
      <c r="AM125" s="21" t="str">
        <f t="shared" si="57"/>
        <v/>
      </c>
      <c r="AN125" s="21" t="str">
        <f t="shared" si="58"/>
        <v/>
      </c>
      <c r="AO125" s="21" t="str">
        <f t="shared" si="59"/>
        <v/>
      </c>
      <c r="AP125" s="21" t="str">
        <f t="shared" si="60"/>
        <v/>
      </c>
      <c r="AQ125" s="21" t="str">
        <f t="shared" si="61"/>
        <v/>
      </c>
      <c r="AR125" s="21"/>
      <c r="AS125" s="27"/>
      <c r="AT125" s="19"/>
    </row>
    <row r="126" spans="2:46" ht="30" hidden="1" customHeight="1" x14ac:dyDescent="0.25">
      <c r="B126" s="34" t="s">
        <v>300</v>
      </c>
      <c r="C126" s="35">
        <v>0</v>
      </c>
      <c r="D126" s="35">
        <v>200000</v>
      </c>
      <c r="E126" s="35">
        <v>2796883724</v>
      </c>
      <c r="F126" s="34" t="s">
        <v>301</v>
      </c>
      <c r="K126" s="4" t="s">
        <v>69</v>
      </c>
      <c r="L126" s="26">
        <f t="shared" si="47"/>
        <v>200000</v>
      </c>
      <c r="M126" s="15" t="str">
        <f t="shared" si="48"/>
        <v>Đúng</v>
      </c>
      <c r="N126" s="21" t="str">
        <f t="shared" si="50"/>
        <v/>
      </c>
      <c r="O126" s="21" t="str">
        <f t="shared" si="51"/>
        <v/>
      </c>
      <c r="P126" s="21"/>
      <c r="Q126" s="18">
        <f t="shared" si="49"/>
        <v>200000</v>
      </c>
      <c r="R126" s="21">
        <f t="shared" si="52"/>
        <v>200000</v>
      </c>
      <c r="S126" s="21"/>
      <c r="T126" s="21"/>
      <c r="U126" s="21" t="str">
        <f t="shared" si="53"/>
        <v/>
      </c>
      <c r="V126" s="21"/>
      <c r="W126" s="21"/>
      <c r="X126" s="21"/>
      <c r="Y126" s="21"/>
      <c r="Z126" s="21"/>
      <c r="AA126" s="21"/>
      <c r="AB126" s="21"/>
      <c r="AC126" s="21"/>
      <c r="AD126" s="21"/>
      <c r="AE126" s="21"/>
      <c r="AF126" s="21"/>
      <c r="AG126" s="21"/>
      <c r="AH126" s="21" t="str">
        <f t="shared" si="54"/>
        <v/>
      </c>
      <c r="AI126" s="20"/>
      <c r="AJ126" s="21" t="str">
        <f t="shared" si="55"/>
        <v/>
      </c>
      <c r="AK126" s="26"/>
      <c r="AL126" s="21" t="str">
        <f t="shared" si="56"/>
        <v/>
      </c>
      <c r="AM126" s="21" t="str">
        <f t="shared" si="57"/>
        <v/>
      </c>
      <c r="AN126" s="21" t="str">
        <f t="shared" si="58"/>
        <v/>
      </c>
      <c r="AO126" s="21" t="str">
        <f t="shared" si="59"/>
        <v/>
      </c>
      <c r="AP126" s="21" t="str">
        <f t="shared" si="60"/>
        <v/>
      </c>
      <c r="AQ126" s="21" t="str">
        <f t="shared" si="61"/>
        <v/>
      </c>
      <c r="AR126" s="21"/>
      <c r="AS126" s="27"/>
      <c r="AT126" s="19"/>
    </row>
    <row r="127" spans="2:46" ht="30" customHeight="1" x14ac:dyDescent="0.25">
      <c r="B127" s="34" t="s">
        <v>302</v>
      </c>
      <c r="C127" s="35">
        <v>0</v>
      </c>
      <c r="D127" s="35">
        <v>9250000</v>
      </c>
      <c r="E127" s="35">
        <v>2806133724</v>
      </c>
      <c r="F127" s="34" t="s">
        <v>303</v>
      </c>
      <c r="K127" s="4" t="s">
        <v>67</v>
      </c>
      <c r="L127" s="26">
        <f t="shared" si="47"/>
        <v>9250000</v>
      </c>
      <c r="M127" s="15" t="str">
        <f t="shared" si="48"/>
        <v>Đúng</v>
      </c>
      <c r="N127" s="21">
        <f t="shared" si="50"/>
        <v>9250000</v>
      </c>
      <c r="O127" s="21" t="str">
        <f t="shared" si="51"/>
        <v/>
      </c>
      <c r="P127" s="21"/>
      <c r="Q127" s="18">
        <f t="shared" si="49"/>
        <v>9250000</v>
      </c>
      <c r="R127" s="21" t="str">
        <f t="shared" si="52"/>
        <v/>
      </c>
      <c r="S127" s="21"/>
      <c r="T127" s="21"/>
      <c r="U127" s="21" t="str">
        <f t="shared" si="53"/>
        <v/>
      </c>
      <c r="V127" s="21"/>
      <c r="W127" s="21"/>
      <c r="X127" s="21"/>
      <c r="Y127" s="21"/>
      <c r="Z127" s="21"/>
      <c r="AA127" s="21"/>
      <c r="AB127" s="21"/>
      <c r="AC127" s="21"/>
      <c r="AD127" s="21"/>
      <c r="AE127" s="21"/>
      <c r="AF127" s="21"/>
      <c r="AG127" s="21"/>
      <c r="AH127" s="21" t="str">
        <f t="shared" si="54"/>
        <v/>
      </c>
      <c r="AI127" s="20"/>
      <c r="AJ127" s="21" t="str">
        <f t="shared" si="55"/>
        <v/>
      </c>
      <c r="AK127" s="26"/>
      <c r="AL127" s="21" t="str">
        <f t="shared" si="56"/>
        <v/>
      </c>
      <c r="AM127" s="21" t="str">
        <f t="shared" si="57"/>
        <v/>
      </c>
      <c r="AN127" s="21" t="str">
        <f t="shared" si="58"/>
        <v/>
      </c>
      <c r="AO127" s="21" t="str">
        <f t="shared" si="59"/>
        <v/>
      </c>
      <c r="AP127" s="21" t="str">
        <f t="shared" si="60"/>
        <v/>
      </c>
      <c r="AQ127" s="21" t="str">
        <f t="shared" si="61"/>
        <v/>
      </c>
      <c r="AR127" s="21"/>
      <c r="AS127" s="27"/>
      <c r="AT127" s="19"/>
    </row>
    <row r="128" spans="2:46" ht="30" customHeight="1" x14ac:dyDescent="0.25">
      <c r="B128" s="34" t="s">
        <v>304</v>
      </c>
      <c r="C128" s="35">
        <v>0</v>
      </c>
      <c r="D128" s="35">
        <v>3024000</v>
      </c>
      <c r="E128" s="35">
        <v>2809157724</v>
      </c>
      <c r="F128" s="34" t="s">
        <v>305</v>
      </c>
      <c r="K128" s="4" t="s">
        <v>67</v>
      </c>
      <c r="L128" s="26">
        <f t="shared" si="47"/>
        <v>3024000</v>
      </c>
      <c r="M128" s="15" t="str">
        <f t="shared" si="48"/>
        <v>Đúng</v>
      </c>
      <c r="N128" s="21">
        <f t="shared" si="50"/>
        <v>3024000</v>
      </c>
      <c r="O128" s="21" t="str">
        <f t="shared" si="51"/>
        <v/>
      </c>
      <c r="P128" s="21"/>
      <c r="Q128" s="18">
        <f t="shared" si="49"/>
        <v>3024000</v>
      </c>
      <c r="R128" s="21" t="str">
        <f t="shared" si="52"/>
        <v/>
      </c>
      <c r="S128" s="21"/>
      <c r="T128" s="21"/>
      <c r="U128" s="21" t="str">
        <f t="shared" si="53"/>
        <v/>
      </c>
      <c r="V128" s="21"/>
      <c r="W128" s="21"/>
      <c r="X128" s="21"/>
      <c r="Y128" s="21"/>
      <c r="Z128" s="21"/>
      <c r="AA128" s="21"/>
      <c r="AB128" s="21"/>
      <c r="AC128" s="21"/>
      <c r="AD128" s="21"/>
      <c r="AE128" s="21"/>
      <c r="AF128" s="21"/>
      <c r="AG128" s="21"/>
      <c r="AH128" s="21" t="str">
        <f t="shared" si="54"/>
        <v/>
      </c>
      <c r="AI128" s="20"/>
      <c r="AJ128" s="21" t="str">
        <f t="shared" si="55"/>
        <v/>
      </c>
      <c r="AK128" s="26"/>
      <c r="AL128" s="21" t="str">
        <f t="shared" si="56"/>
        <v/>
      </c>
      <c r="AM128" s="21" t="str">
        <f t="shared" si="57"/>
        <v/>
      </c>
      <c r="AN128" s="21" t="str">
        <f t="shared" si="58"/>
        <v/>
      </c>
      <c r="AO128" s="21" t="str">
        <f t="shared" si="59"/>
        <v/>
      </c>
      <c r="AP128" s="21" t="str">
        <f t="shared" si="60"/>
        <v/>
      </c>
      <c r="AQ128" s="21" t="str">
        <f t="shared" si="61"/>
        <v/>
      </c>
      <c r="AR128" s="21"/>
      <c r="AS128" s="27"/>
      <c r="AT128" s="19"/>
    </row>
    <row r="129" spans="2:46" ht="30" hidden="1" customHeight="1" x14ac:dyDescent="0.25">
      <c r="B129" s="34" t="s">
        <v>306</v>
      </c>
      <c r="C129" s="35">
        <v>0</v>
      </c>
      <c r="D129" s="35">
        <v>200000</v>
      </c>
      <c r="E129" s="35">
        <v>2809357724</v>
      </c>
      <c r="F129" s="34" t="s">
        <v>307</v>
      </c>
      <c r="K129" s="4" t="s">
        <v>69</v>
      </c>
      <c r="L129" s="26">
        <f t="shared" si="47"/>
        <v>200000</v>
      </c>
      <c r="M129" s="15" t="str">
        <f t="shared" si="48"/>
        <v>Đúng</v>
      </c>
      <c r="N129" s="21" t="str">
        <f t="shared" si="50"/>
        <v/>
      </c>
      <c r="O129" s="21" t="str">
        <f t="shared" si="51"/>
        <v/>
      </c>
      <c r="P129" s="21"/>
      <c r="Q129" s="18">
        <f t="shared" si="49"/>
        <v>200000</v>
      </c>
      <c r="R129" s="21">
        <f t="shared" si="52"/>
        <v>200000</v>
      </c>
      <c r="S129" s="21"/>
      <c r="T129" s="21"/>
      <c r="U129" s="21" t="str">
        <f t="shared" si="53"/>
        <v/>
      </c>
      <c r="V129" s="21"/>
      <c r="W129" s="21"/>
      <c r="X129" s="21"/>
      <c r="Y129" s="21"/>
      <c r="Z129" s="21"/>
      <c r="AA129" s="21"/>
      <c r="AB129" s="21"/>
      <c r="AC129" s="21"/>
      <c r="AD129" s="21"/>
      <c r="AE129" s="21"/>
      <c r="AF129" s="21"/>
      <c r="AG129" s="21"/>
      <c r="AH129" s="21" t="str">
        <f t="shared" si="54"/>
        <v/>
      </c>
      <c r="AI129" s="20"/>
      <c r="AJ129" s="21" t="str">
        <f t="shared" si="55"/>
        <v/>
      </c>
      <c r="AK129" s="26"/>
      <c r="AL129" s="21" t="str">
        <f t="shared" si="56"/>
        <v/>
      </c>
      <c r="AM129" s="21" t="str">
        <f t="shared" si="57"/>
        <v/>
      </c>
      <c r="AN129" s="21" t="str">
        <f t="shared" si="58"/>
        <v/>
      </c>
      <c r="AO129" s="21" t="str">
        <f t="shared" si="59"/>
        <v/>
      </c>
      <c r="AP129" s="21" t="str">
        <f t="shared" si="60"/>
        <v/>
      </c>
      <c r="AQ129" s="21" t="str">
        <f t="shared" si="61"/>
        <v/>
      </c>
      <c r="AR129" s="21"/>
      <c r="AS129" s="27"/>
      <c r="AT129" s="19"/>
    </row>
    <row r="130" spans="2:46" ht="30" customHeight="1" x14ac:dyDescent="0.25">
      <c r="B130" s="34" t="s">
        <v>308</v>
      </c>
      <c r="C130" s="35">
        <v>0</v>
      </c>
      <c r="D130" s="35">
        <v>3024000</v>
      </c>
      <c r="E130" s="35">
        <v>2812381724</v>
      </c>
      <c r="F130" s="34" t="s">
        <v>309</v>
      </c>
      <c r="K130" s="4" t="s">
        <v>67</v>
      </c>
      <c r="L130" s="26">
        <f t="shared" si="47"/>
        <v>3024000</v>
      </c>
      <c r="M130" s="15" t="str">
        <f t="shared" si="48"/>
        <v>Đúng</v>
      </c>
      <c r="N130" s="21">
        <f t="shared" si="50"/>
        <v>3024000</v>
      </c>
      <c r="O130" s="21" t="str">
        <f t="shared" si="51"/>
        <v/>
      </c>
      <c r="P130" s="21"/>
      <c r="Q130" s="18">
        <f t="shared" si="49"/>
        <v>3024000</v>
      </c>
      <c r="R130" s="21" t="str">
        <f t="shared" si="52"/>
        <v/>
      </c>
      <c r="S130" s="21"/>
      <c r="T130" s="21"/>
      <c r="U130" s="21" t="str">
        <f t="shared" si="53"/>
        <v/>
      </c>
      <c r="V130" s="21"/>
      <c r="W130" s="21"/>
      <c r="X130" s="21"/>
      <c r="Y130" s="21"/>
      <c r="Z130" s="21"/>
      <c r="AA130" s="21"/>
      <c r="AB130" s="21"/>
      <c r="AC130" s="21"/>
      <c r="AD130" s="21"/>
      <c r="AE130" s="21"/>
      <c r="AF130" s="21"/>
      <c r="AG130" s="21"/>
      <c r="AH130" s="21" t="str">
        <f t="shared" si="54"/>
        <v/>
      </c>
      <c r="AI130" s="20"/>
      <c r="AJ130" s="21" t="str">
        <f t="shared" si="55"/>
        <v/>
      </c>
      <c r="AK130" s="26"/>
      <c r="AL130" s="21" t="str">
        <f t="shared" si="56"/>
        <v/>
      </c>
      <c r="AM130" s="21" t="str">
        <f t="shared" si="57"/>
        <v/>
      </c>
      <c r="AN130" s="21" t="str">
        <f t="shared" si="58"/>
        <v/>
      </c>
      <c r="AO130" s="21" t="str">
        <f t="shared" si="59"/>
        <v/>
      </c>
      <c r="AP130" s="21" t="str">
        <f t="shared" si="60"/>
        <v/>
      </c>
      <c r="AQ130" s="21" t="str">
        <f t="shared" si="61"/>
        <v/>
      </c>
      <c r="AR130" s="21"/>
      <c r="AS130" s="27"/>
      <c r="AT130" s="19"/>
    </row>
    <row r="131" spans="2:46" ht="30" hidden="1" customHeight="1" x14ac:dyDescent="0.25">
      <c r="B131" s="34" t="s">
        <v>310</v>
      </c>
      <c r="C131" s="35">
        <v>0</v>
      </c>
      <c r="D131" s="35">
        <v>200000</v>
      </c>
      <c r="E131" s="35">
        <v>2812581724</v>
      </c>
      <c r="F131" s="34" t="s">
        <v>311</v>
      </c>
      <c r="K131" s="4" t="s">
        <v>69</v>
      </c>
      <c r="L131" s="26">
        <f t="shared" si="47"/>
        <v>200000</v>
      </c>
      <c r="M131" s="15" t="str">
        <f t="shared" si="48"/>
        <v>Đúng</v>
      </c>
      <c r="N131" s="21" t="str">
        <f t="shared" si="50"/>
        <v/>
      </c>
      <c r="O131" s="21" t="str">
        <f t="shared" si="51"/>
        <v/>
      </c>
      <c r="P131" s="21"/>
      <c r="Q131" s="18">
        <f t="shared" si="49"/>
        <v>200000</v>
      </c>
      <c r="R131" s="21">
        <f t="shared" si="52"/>
        <v>200000</v>
      </c>
      <c r="S131" s="21"/>
      <c r="T131" s="21"/>
      <c r="U131" s="21" t="str">
        <f t="shared" si="53"/>
        <v/>
      </c>
      <c r="V131" s="21"/>
      <c r="W131" s="21"/>
      <c r="X131" s="21"/>
      <c r="Y131" s="21"/>
      <c r="Z131" s="21"/>
      <c r="AA131" s="21"/>
      <c r="AB131" s="21"/>
      <c r="AC131" s="21"/>
      <c r="AD131" s="21"/>
      <c r="AE131" s="21"/>
      <c r="AF131" s="21"/>
      <c r="AG131" s="21"/>
      <c r="AH131" s="21" t="str">
        <f t="shared" si="54"/>
        <v/>
      </c>
      <c r="AI131" s="20"/>
      <c r="AJ131" s="21" t="str">
        <f t="shared" si="55"/>
        <v/>
      </c>
      <c r="AK131" s="26"/>
      <c r="AL131" s="21" t="str">
        <f t="shared" si="56"/>
        <v/>
      </c>
      <c r="AM131" s="21" t="str">
        <f t="shared" si="57"/>
        <v/>
      </c>
      <c r="AN131" s="21" t="str">
        <f t="shared" si="58"/>
        <v/>
      </c>
      <c r="AO131" s="21" t="str">
        <f t="shared" si="59"/>
        <v/>
      </c>
      <c r="AP131" s="21" t="str">
        <f t="shared" si="60"/>
        <v/>
      </c>
      <c r="AQ131" s="21" t="str">
        <f t="shared" si="61"/>
        <v/>
      </c>
      <c r="AR131" s="21"/>
      <c r="AS131" s="27"/>
      <c r="AT131" s="19"/>
    </row>
    <row r="132" spans="2:46" ht="30" hidden="1" customHeight="1" x14ac:dyDescent="0.25">
      <c r="B132" s="34" t="s">
        <v>312</v>
      </c>
      <c r="C132" s="35">
        <v>0</v>
      </c>
      <c r="D132" s="35">
        <v>360000</v>
      </c>
      <c r="E132" s="35">
        <v>2812941724</v>
      </c>
      <c r="F132" s="34" t="s">
        <v>313</v>
      </c>
      <c r="K132" s="4" t="s">
        <v>64</v>
      </c>
      <c r="L132" s="26">
        <f t="shared" si="47"/>
        <v>360000</v>
      </c>
      <c r="M132" s="15" t="str">
        <f t="shared" si="48"/>
        <v>Đúng</v>
      </c>
      <c r="N132" s="21" t="str">
        <f t="shared" si="50"/>
        <v/>
      </c>
      <c r="O132" s="21" t="str">
        <f t="shared" si="51"/>
        <v/>
      </c>
      <c r="P132" s="21"/>
      <c r="Q132" s="18">
        <f t="shared" si="49"/>
        <v>360000</v>
      </c>
      <c r="R132" s="21" t="str">
        <f t="shared" si="52"/>
        <v/>
      </c>
      <c r="S132" s="21"/>
      <c r="T132" s="21"/>
      <c r="U132" s="21" t="str">
        <f t="shared" si="53"/>
        <v/>
      </c>
      <c r="V132" s="21"/>
      <c r="W132" s="21"/>
      <c r="X132" s="21"/>
      <c r="Y132" s="21"/>
      <c r="Z132" s="21"/>
      <c r="AA132" s="21"/>
      <c r="AB132" s="21"/>
      <c r="AC132" s="21"/>
      <c r="AD132" s="21"/>
      <c r="AE132" s="21"/>
      <c r="AF132" s="21"/>
      <c r="AG132" s="21"/>
      <c r="AH132" s="21" t="str">
        <f t="shared" si="54"/>
        <v/>
      </c>
      <c r="AI132" s="20"/>
      <c r="AJ132" s="21" t="str">
        <f t="shared" si="55"/>
        <v/>
      </c>
      <c r="AK132" s="26"/>
      <c r="AL132" s="21" t="str">
        <f t="shared" si="56"/>
        <v/>
      </c>
      <c r="AM132" s="21" t="str">
        <f t="shared" si="57"/>
        <v/>
      </c>
      <c r="AN132" s="21">
        <f t="shared" si="58"/>
        <v>360000</v>
      </c>
      <c r="AO132" s="21" t="str">
        <f t="shared" si="59"/>
        <v/>
      </c>
      <c r="AP132" s="21" t="str">
        <f t="shared" si="60"/>
        <v/>
      </c>
      <c r="AQ132" s="21" t="str">
        <f t="shared" si="61"/>
        <v/>
      </c>
      <c r="AR132" s="21"/>
      <c r="AS132" s="27"/>
      <c r="AT132" s="19"/>
    </row>
    <row r="133" spans="2:46" ht="30" hidden="1" customHeight="1" x14ac:dyDescent="0.25">
      <c r="B133" s="34" t="s">
        <v>314</v>
      </c>
      <c r="C133" s="35">
        <v>629860</v>
      </c>
      <c r="D133" s="35">
        <v>0</v>
      </c>
      <c r="E133" s="35">
        <v>2812311864</v>
      </c>
      <c r="F133" s="34" t="s">
        <v>315</v>
      </c>
      <c r="L133" s="26">
        <f t="shared" si="47"/>
        <v>0</v>
      </c>
      <c r="M133" s="15" t="str">
        <f t="shared" si="48"/>
        <v>Đúng</v>
      </c>
      <c r="N133" s="21" t="str">
        <f t="shared" si="50"/>
        <v/>
      </c>
      <c r="O133" s="21" t="str">
        <f t="shared" si="51"/>
        <v/>
      </c>
      <c r="P133" s="21"/>
      <c r="Q133" s="18">
        <f t="shared" si="49"/>
        <v>0</v>
      </c>
      <c r="R133" s="21" t="str">
        <f t="shared" si="52"/>
        <v/>
      </c>
      <c r="S133" s="21"/>
      <c r="T133" s="21"/>
      <c r="U133" s="21" t="str">
        <f t="shared" si="53"/>
        <v/>
      </c>
      <c r="V133" s="21"/>
      <c r="W133" s="21"/>
      <c r="X133" s="21"/>
      <c r="Y133" s="21"/>
      <c r="Z133" s="21"/>
      <c r="AA133" s="21"/>
      <c r="AB133" s="21"/>
      <c r="AC133" s="21"/>
      <c r="AD133" s="21"/>
      <c r="AE133" s="21"/>
      <c r="AF133" s="21"/>
      <c r="AG133" s="21"/>
      <c r="AH133" s="21" t="str">
        <f t="shared" si="54"/>
        <v/>
      </c>
      <c r="AI133" s="20"/>
      <c r="AJ133" s="21" t="str">
        <f t="shared" si="55"/>
        <v/>
      </c>
      <c r="AK133" s="26"/>
      <c r="AL133" s="21" t="str">
        <f t="shared" si="56"/>
        <v/>
      </c>
      <c r="AM133" s="21" t="str">
        <f t="shared" si="57"/>
        <v/>
      </c>
      <c r="AN133" s="21" t="str">
        <f t="shared" si="58"/>
        <v/>
      </c>
      <c r="AO133" s="21" t="str">
        <f t="shared" si="59"/>
        <v/>
      </c>
      <c r="AP133" s="21" t="str">
        <f t="shared" si="60"/>
        <v/>
      </c>
      <c r="AQ133" s="21" t="str">
        <f t="shared" si="61"/>
        <v/>
      </c>
      <c r="AR133" s="21"/>
      <c r="AS133" s="27"/>
      <c r="AT133" s="19"/>
    </row>
    <row r="134" spans="2:46" ht="30" hidden="1" customHeight="1" x14ac:dyDescent="0.25">
      <c r="B134" s="34" t="s">
        <v>316</v>
      </c>
      <c r="C134" s="35">
        <v>55000</v>
      </c>
      <c r="D134" s="35">
        <v>0</v>
      </c>
      <c r="E134" s="35">
        <v>2812256864</v>
      </c>
      <c r="F134" s="34" t="s">
        <v>317</v>
      </c>
      <c r="L134" s="26">
        <f t="shared" si="47"/>
        <v>0</v>
      </c>
      <c r="M134" s="15" t="str">
        <f t="shared" si="48"/>
        <v>Đúng</v>
      </c>
      <c r="N134" s="21" t="str">
        <f t="shared" si="50"/>
        <v/>
      </c>
      <c r="O134" s="21" t="str">
        <f t="shared" si="51"/>
        <v/>
      </c>
      <c r="P134" s="21"/>
      <c r="Q134" s="18">
        <f t="shared" si="49"/>
        <v>0</v>
      </c>
      <c r="R134" s="21" t="str">
        <f t="shared" si="52"/>
        <v/>
      </c>
      <c r="S134" s="21"/>
      <c r="T134" s="21"/>
      <c r="U134" s="21" t="str">
        <f t="shared" si="53"/>
        <v/>
      </c>
      <c r="V134" s="21"/>
      <c r="W134" s="21"/>
      <c r="X134" s="21"/>
      <c r="Y134" s="21"/>
      <c r="Z134" s="21"/>
      <c r="AA134" s="21"/>
      <c r="AB134" s="21"/>
      <c r="AC134" s="21"/>
      <c r="AD134" s="21"/>
      <c r="AE134" s="21"/>
      <c r="AF134" s="21"/>
      <c r="AG134" s="21"/>
      <c r="AH134" s="21" t="str">
        <f t="shared" si="54"/>
        <v/>
      </c>
      <c r="AI134" s="20"/>
      <c r="AJ134" s="21" t="str">
        <f t="shared" si="55"/>
        <v/>
      </c>
      <c r="AK134" s="26"/>
      <c r="AL134" s="21" t="str">
        <f t="shared" si="56"/>
        <v/>
      </c>
      <c r="AM134" s="21" t="str">
        <f t="shared" si="57"/>
        <v/>
      </c>
      <c r="AN134" s="21" t="str">
        <f t="shared" si="58"/>
        <v/>
      </c>
      <c r="AO134" s="21" t="str">
        <f t="shared" si="59"/>
        <v/>
      </c>
      <c r="AP134" s="21" t="str">
        <f t="shared" si="60"/>
        <v/>
      </c>
      <c r="AQ134" s="21" t="str">
        <f t="shared" si="61"/>
        <v/>
      </c>
      <c r="AR134" s="21"/>
      <c r="AS134" s="27"/>
      <c r="AT134" s="19"/>
    </row>
    <row r="135" spans="2:46" ht="30" customHeight="1" x14ac:dyDescent="0.25">
      <c r="B135" s="34" t="s">
        <v>318</v>
      </c>
      <c r="C135" s="35">
        <v>0</v>
      </c>
      <c r="D135" s="35">
        <v>3024000</v>
      </c>
      <c r="E135" s="35">
        <v>2815280864</v>
      </c>
      <c r="F135" s="34" t="s">
        <v>319</v>
      </c>
      <c r="K135" s="4" t="s">
        <v>67</v>
      </c>
      <c r="L135" s="26">
        <f t="shared" si="47"/>
        <v>3024000</v>
      </c>
      <c r="M135" s="15" t="str">
        <f t="shared" si="48"/>
        <v>Đúng</v>
      </c>
      <c r="N135" s="21">
        <f t="shared" si="50"/>
        <v>3024000</v>
      </c>
      <c r="O135" s="21" t="str">
        <f t="shared" si="51"/>
        <v/>
      </c>
      <c r="P135" s="21"/>
      <c r="Q135" s="18">
        <f t="shared" si="49"/>
        <v>3024000</v>
      </c>
      <c r="R135" s="21" t="str">
        <f t="shared" si="52"/>
        <v/>
      </c>
      <c r="S135" s="21"/>
      <c r="T135" s="21"/>
      <c r="U135" s="21" t="str">
        <f t="shared" si="53"/>
        <v/>
      </c>
      <c r="V135" s="21"/>
      <c r="W135" s="21"/>
      <c r="X135" s="21"/>
      <c r="Y135" s="21"/>
      <c r="Z135" s="21"/>
      <c r="AA135" s="21"/>
      <c r="AB135" s="21"/>
      <c r="AC135" s="21"/>
      <c r="AD135" s="21"/>
      <c r="AE135" s="21"/>
      <c r="AF135" s="21"/>
      <c r="AG135" s="21"/>
      <c r="AH135" s="21" t="str">
        <f t="shared" si="54"/>
        <v/>
      </c>
      <c r="AI135" s="20"/>
      <c r="AJ135" s="21" t="str">
        <f t="shared" si="55"/>
        <v/>
      </c>
      <c r="AK135" s="26"/>
      <c r="AL135" s="21" t="str">
        <f t="shared" si="56"/>
        <v/>
      </c>
      <c r="AM135" s="21" t="str">
        <f t="shared" si="57"/>
        <v/>
      </c>
      <c r="AN135" s="21" t="str">
        <f t="shared" si="58"/>
        <v/>
      </c>
      <c r="AO135" s="21" t="str">
        <f t="shared" si="59"/>
        <v/>
      </c>
      <c r="AP135" s="21" t="str">
        <f t="shared" si="60"/>
        <v/>
      </c>
      <c r="AQ135" s="21" t="str">
        <f t="shared" si="61"/>
        <v/>
      </c>
      <c r="AR135" s="21"/>
      <c r="AS135" s="27"/>
      <c r="AT135" s="19"/>
    </row>
    <row r="136" spans="2:46" ht="30" hidden="1" customHeight="1" x14ac:dyDescent="0.25">
      <c r="B136" s="34" t="s">
        <v>320</v>
      </c>
      <c r="C136" s="35">
        <v>0</v>
      </c>
      <c r="D136" s="35">
        <v>900000</v>
      </c>
      <c r="E136" s="35">
        <v>2816180864</v>
      </c>
      <c r="F136" s="34" t="s">
        <v>321</v>
      </c>
      <c r="K136" s="4" t="s">
        <v>64</v>
      </c>
      <c r="L136" s="26">
        <f t="shared" si="47"/>
        <v>900000</v>
      </c>
      <c r="M136" s="15" t="str">
        <f t="shared" si="48"/>
        <v>Đúng</v>
      </c>
      <c r="N136" s="21" t="str">
        <f t="shared" si="50"/>
        <v/>
      </c>
      <c r="O136" s="21" t="str">
        <f t="shared" si="51"/>
        <v/>
      </c>
      <c r="P136" s="21"/>
      <c r="Q136" s="18">
        <f t="shared" si="49"/>
        <v>900000</v>
      </c>
      <c r="R136" s="21" t="str">
        <f t="shared" si="52"/>
        <v/>
      </c>
      <c r="S136" s="21"/>
      <c r="T136" s="21"/>
      <c r="U136" s="21" t="str">
        <f t="shared" si="53"/>
        <v/>
      </c>
      <c r="V136" s="21"/>
      <c r="W136" s="21"/>
      <c r="X136" s="21"/>
      <c r="Y136" s="21"/>
      <c r="Z136" s="21"/>
      <c r="AA136" s="21"/>
      <c r="AB136" s="21"/>
      <c r="AC136" s="21"/>
      <c r="AD136" s="21"/>
      <c r="AE136" s="21"/>
      <c r="AF136" s="21"/>
      <c r="AG136" s="21"/>
      <c r="AH136" s="21" t="str">
        <f t="shared" si="54"/>
        <v/>
      </c>
      <c r="AI136" s="20"/>
      <c r="AJ136" s="21" t="str">
        <f t="shared" si="55"/>
        <v/>
      </c>
      <c r="AK136" s="26"/>
      <c r="AL136" s="21" t="str">
        <f t="shared" si="56"/>
        <v/>
      </c>
      <c r="AM136" s="21" t="str">
        <f t="shared" si="57"/>
        <v/>
      </c>
      <c r="AN136" s="21">
        <f t="shared" si="58"/>
        <v>900000</v>
      </c>
      <c r="AO136" s="21" t="str">
        <f t="shared" si="59"/>
        <v/>
      </c>
      <c r="AP136" s="21" t="str">
        <f t="shared" si="60"/>
        <v/>
      </c>
      <c r="AQ136" s="21" t="str">
        <f t="shared" si="61"/>
        <v/>
      </c>
      <c r="AR136" s="21"/>
      <c r="AS136" s="27"/>
      <c r="AT136" s="19"/>
    </row>
    <row r="137" spans="2:46" ht="30" hidden="1" customHeight="1" x14ac:dyDescent="0.25">
      <c r="B137" s="34" t="s">
        <v>322</v>
      </c>
      <c r="C137" s="35">
        <v>0</v>
      </c>
      <c r="D137" s="35">
        <v>95700000</v>
      </c>
      <c r="E137" s="35">
        <v>2911880864</v>
      </c>
      <c r="F137" s="34" t="s">
        <v>323</v>
      </c>
      <c r="K137" s="4" t="s">
        <v>126</v>
      </c>
      <c r="L137" s="26">
        <f t="shared" si="47"/>
        <v>95700000</v>
      </c>
      <c r="M137" s="15" t="str">
        <f t="shared" si="48"/>
        <v>Đúng</v>
      </c>
      <c r="N137" s="21" t="str">
        <f t="shared" si="50"/>
        <v/>
      </c>
      <c r="O137" s="21" t="str">
        <f t="shared" si="51"/>
        <v/>
      </c>
      <c r="P137" s="21"/>
      <c r="Q137" s="18">
        <f t="shared" si="49"/>
        <v>95700000</v>
      </c>
      <c r="R137" s="21" t="str">
        <f t="shared" si="52"/>
        <v/>
      </c>
      <c r="S137" s="21"/>
      <c r="T137" s="21"/>
      <c r="U137" s="21" t="str">
        <f t="shared" si="53"/>
        <v/>
      </c>
      <c r="V137" s="21"/>
      <c r="W137" s="21"/>
      <c r="X137" s="21"/>
      <c r="Y137" s="21"/>
      <c r="Z137" s="21"/>
      <c r="AA137" s="21"/>
      <c r="AB137" s="21"/>
      <c r="AC137" s="21"/>
      <c r="AD137" s="21"/>
      <c r="AE137" s="21"/>
      <c r="AF137" s="21"/>
      <c r="AG137" s="21"/>
      <c r="AH137" s="21" t="str">
        <f t="shared" si="54"/>
        <v/>
      </c>
      <c r="AI137" s="20"/>
      <c r="AJ137" s="21" t="str">
        <f t="shared" si="55"/>
        <v/>
      </c>
      <c r="AK137" s="26"/>
      <c r="AL137" s="21">
        <f t="shared" si="56"/>
        <v>95700000</v>
      </c>
      <c r="AM137" s="21" t="str">
        <f t="shared" si="57"/>
        <v/>
      </c>
      <c r="AN137" s="21" t="str">
        <f t="shared" si="58"/>
        <v/>
      </c>
      <c r="AO137" s="21" t="str">
        <f t="shared" si="59"/>
        <v/>
      </c>
      <c r="AP137" s="21" t="str">
        <f t="shared" si="60"/>
        <v/>
      </c>
      <c r="AQ137" s="21" t="str">
        <f t="shared" si="61"/>
        <v/>
      </c>
      <c r="AR137" s="21"/>
      <c r="AS137" s="27"/>
      <c r="AT137" s="19"/>
    </row>
    <row r="138" spans="2:46" ht="30" hidden="1" customHeight="1" x14ac:dyDescent="0.25">
      <c r="B138" s="34" t="s">
        <v>324</v>
      </c>
      <c r="C138" s="35">
        <v>0</v>
      </c>
      <c r="D138" s="35">
        <v>8250000</v>
      </c>
      <c r="E138" s="35">
        <v>2920130864</v>
      </c>
      <c r="F138" s="34" t="s">
        <v>325</v>
      </c>
      <c r="K138" s="4" t="s">
        <v>126</v>
      </c>
      <c r="L138" s="26">
        <f t="shared" si="47"/>
        <v>8250000</v>
      </c>
      <c r="M138" s="15" t="str">
        <f t="shared" si="48"/>
        <v>Đúng</v>
      </c>
      <c r="N138" s="21" t="str">
        <f t="shared" si="50"/>
        <v/>
      </c>
      <c r="O138" s="21" t="str">
        <f t="shared" si="51"/>
        <v/>
      </c>
      <c r="P138" s="21"/>
      <c r="Q138" s="18">
        <f t="shared" si="49"/>
        <v>8250000</v>
      </c>
      <c r="R138" s="21" t="str">
        <f t="shared" si="52"/>
        <v/>
      </c>
      <c r="S138" s="21"/>
      <c r="T138" s="21"/>
      <c r="U138" s="21" t="str">
        <f t="shared" si="53"/>
        <v/>
      </c>
      <c r="V138" s="21"/>
      <c r="W138" s="21"/>
      <c r="X138" s="21"/>
      <c r="Y138" s="21"/>
      <c r="Z138" s="21"/>
      <c r="AA138" s="21"/>
      <c r="AB138" s="21"/>
      <c r="AC138" s="21"/>
      <c r="AD138" s="21"/>
      <c r="AE138" s="21"/>
      <c r="AF138" s="21"/>
      <c r="AG138" s="21"/>
      <c r="AH138" s="21" t="str">
        <f t="shared" si="54"/>
        <v/>
      </c>
      <c r="AI138" s="20"/>
      <c r="AJ138" s="21" t="str">
        <f t="shared" si="55"/>
        <v/>
      </c>
      <c r="AK138" s="26"/>
      <c r="AL138" s="21">
        <f t="shared" si="56"/>
        <v>8250000</v>
      </c>
      <c r="AM138" s="21" t="str">
        <f t="shared" si="57"/>
        <v/>
      </c>
      <c r="AN138" s="21" t="str">
        <f t="shared" si="58"/>
        <v/>
      </c>
      <c r="AO138" s="21" t="str">
        <f t="shared" si="59"/>
        <v/>
      </c>
      <c r="AP138" s="21" t="str">
        <f t="shared" si="60"/>
        <v/>
      </c>
      <c r="AQ138" s="21" t="str">
        <f t="shared" si="61"/>
        <v/>
      </c>
      <c r="AR138" s="21"/>
      <c r="AS138" s="27"/>
      <c r="AT138" s="19"/>
    </row>
    <row r="139" spans="2:46" ht="30" hidden="1" customHeight="1" x14ac:dyDescent="0.25">
      <c r="B139" s="34" t="s">
        <v>326</v>
      </c>
      <c r="C139" s="35">
        <v>0</v>
      </c>
      <c r="D139" s="35">
        <v>50800000</v>
      </c>
      <c r="E139" s="35">
        <v>2970930864</v>
      </c>
      <c r="F139" s="34" t="s">
        <v>327</v>
      </c>
      <c r="K139" s="4" t="s">
        <v>356</v>
      </c>
      <c r="L139" s="26">
        <f t="shared" si="47"/>
        <v>50800000</v>
      </c>
      <c r="M139" s="15" t="str">
        <f t="shared" si="48"/>
        <v>Đúng</v>
      </c>
      <c r="N139" s="21" t="str">
        <f t="shared" si="50"/>
        <v/>
      </c>
      <c r="O139" s="21" t="str">
        <f t="shared" si="51"/>
        <v/>
      </c>
      <c r="P139" s="21"/>
      <c r="Q139" s="18">
        <f t="shared" si="49"/>
        <v>50800000</v>
      </c>
      <c r="R139" s="21" t="str">
        <f t="shared" si="52"/>
        <v/>
      </c>
      <c r="S139" s="21"/>
      <c r="T139" s="21"/>
      <c r="U139" s="21" t="str">
        <f t="shared" si="53"/>
        <v/>
      </c>
      <c r="V139" s="21"/>
      <c r="W139" s="21"/>
      <c r="X139" s="21"/>
      <c r="Y139" s="21"/>
      <c r="Z139" s="21"/>
      <c r="AA139" s="21"/>
      <c r="AB139" s="21"/>
      <c r="AC139" s="21"/>
      <c r="AD139" s="21"/>
      <c r="AE139" s="21"/>
      <c r="AF139" s="21"/>
      <c r="AG139" s="21"/>
      <c r="AH139" s="21" t="str">
        <f t="shared" si="54"/>
        <v/>
      </c>
      <c r="AI139" s="20"/>
      <c r="AJ139" s="21" t="str">
        <f t="shared" si="55"/>
        <v/>
      </c>
      <c r="AK139" s="26"/>
      <c r="AL139" s="21">
        <f t="shared" si="56"/>
        <v>50800000</v>
      </c>
      <c r="AM139" s="21" t="str">
        <f t="shared" si="57"/>
        <v/>
      </c>
      <c r="AN139" s="21" t="str">
        <f t="shared" si="58"/>
        <v/>
      </c>
      <c r="AO139" s="21" t="str">
        <f t="shared" si="59"/>
        <v/>
      </c>
      <c r="AP139" s="21" t="str">
        <f t="shared" si="60"/>
        <v/>
      </c>
      <c r="AQ139" s="21" t="str">
        <f t="shared" si="61"/>
        <v/>
      </c>
      <c r="AR139" s="21"/>
      <c r="AS139" s="27"/>
      <c r="AT139" s="19"/>
    </row>
    <row r="140" spans="2:46" ht="30" customHeight="1" x14ac:dyDescent="0.25">
      <c r="B140" s="34" t="s">
        <v>328</v>
      </c>
      <c r="C140" s="35">
        <v>0</v>
      </c>
      <c r="D140" s="35">
        <v>3024000</v>
      </c>
      <c r="E140" s="35">
        <v>2973954864</v>
      </c>
      <c r="F140" s="34" t="s">
        <v>329</v>
      </c>
      <c r="K140" s="4" t="s">
        <v>67</v>
      </c>
      <c r="L140" s="26">
        <f t="shared" si="47"/>
        <v>3024000</v>
      </c>
      <c r="M140" s="15" t="str">
        <f t="shared" si="48"/>
        <v>Đúng</v>
      </c>
      <c r="N140" s="21">
        <f t="shared" si="50"/>
        <v>3024000</v>
      </c>
      <c r="O140" s="21" t="str">
        <f t="shared" si="51"/>
        <v/>
      </c>
      <c r="P140" s="21"/>
      <c r="Q140" s="18">
        <f t="shared" si="49"/>
        <v>3024000</v>
      </c>
      <c r="R140" s="21" t="str">
        <f t="shared" si="52"/>
        <v/>
      </c>
      <c r="S140" s="21"/>
      <c r="T140" s="21"/>
      <c r="U140" s="21" t="str">
        <f t="shared" si="53"/>
        <v/>
      </c>
      <c r="V140" s="21"/>
      <c r="W140" s="21"/>
      <c r="X140" s="21"/>
      <c r="Y140" s="21"/>
      <c r="Z140" s="21"/>
      <c r="AA140" s="21"/>
      <c r="AB140" s="21"/>
      <c r="AC140" s="21"/>
      <c r="AD140" s="21"/>
      <c r="AE140" s="21"/>
      <c r="AF140" s="21"/>
      <c r="AG140" s="21"/>
      <c r="AH140" s="21" t="str">
        <f t="shared" si="54"/>
        <v/>
      </c>
      <c r="AI140" s="20"/>
      <c r="AJ140" s="21" t="str">
        <f t="shared" si="55"/>
        <v/>
      </c>
      <c r="AK140" s="26"/>
      <c r="AL140" s="21" t="str">
        <f t="shared" si="56"/>
        <v/>
      </c>
      <c r="AM140" s="21" t="str">
        <f t="shared" si="57"/>
        <v/>
      </c>
      <c r="AN140" s="21" t="str">
        <f t="shared" si="58"/>
        <v/>
      </c>
      <c r="AO140" s="21" t="str">
        <f t="shared" si="59"/>
        <v/>
      </c>
      <c r="AP140" s="21" t="str">
        <f t="shared" si="60"/>
        <v/>
      </c>
      <c r="AQ140" s="21" t="str">
        <f t="shared" si="61"/>
        <v/>
      </c>
      <c r="AR140" s="21"/>
      <c r="AS140" s="27"/>
      <c r="AT140" s="19"/>
    </row>
    <row r="141" spans="2:46" ht="30" hidden="1" customHeight="1" x14ac:dyDescent="0.25">
      <c r="B141" s="34" t="s">
        <v>330</v>
      </c>
      <c r="C141" s="35">
        <v>0</v>
      </c>
      <c r="D141" s="35">
        <v>667527310</v>
      </c>
      <c r="E141" s="35">
        <v>5007812221</v>
      </c>
      <c r="F141" s="34" t="s">
        <v>331</v>
      </c>
      <c r="K141" s="4" t="s">
        <v>357</v>
      </c>
      <c r="L141" s="26">
        <f t="shared" si="47"/>
        <v>667527310</v>
      </c>
      <c r="M141" s="15" t="str">
        <f t="shared" si="48"/>
        <v>Đúng</v>
      </c>
      <c r="N141" s="21" t="str">
        <f t="shared" si="50"/>
        <v/>
      </c>
      <c r="O141" s="21" t="str">
        <f t="shared" si="51"/>
        <v/>
      </c>
      <c r="P141" s="21"/>
      <c r="Q141" s="18">
        <f t="shared" si="49"/>
        <v>667527310</v>
      </c>
      <c r="R141" s="21" t="str">
        <f t="shared" si="52"/>
        <v/>
      </c>
      <c r="S141" s="21"/>
      <c r="T141" s="21"/>
      <c r="U141" s="21" t="str">
        <f t="shared" si="53"/>
        <v/>
      </c>
      <c r="V141" s="21"/>
      <c r="W141" s="21"/>
      <c r="X141" s="21"/>
      <c r="Y141" s="21"/>
      <c r="Z141" s="21"/>
      <c r="AA141" s="21"/>
      <c r="AB141" s="21"/>
      <c r="AC141" s="21"/>
      <c r="AD141" s="21"/>
      <c r="AE141" s="21"/>
      <c r="AF141" s="21"/>
      <c r="AG141" s="21"/>
      <c r="AH141" s="21" t="str">
        <f t="shared" si="54"/>
        <v/>
      </c>
      <c r="AI141" s="20"/>
      <c r="AJ141" s="21" t="str">
        <f t="shared" si="55"/>
        <v/>
      </c>
      <c r="AK141" s="26"/>
      <c r="AL141" s="21" t="str">
        <f t="shared" si="56"/>
        <v/>
      </c>
      <c r="AM141" s="21" t="str">
        <f t="shared" si="57"/>
        <v/>
      </c>
      <c r="AN141" s="21" t="str">
        <f t="shared" si="58"/>
        <v/>
      </c>
      <c r="AO141" s="21" t="str">
        <f t="shared" si="59"/>
        <v/>
      </c>
      <c r="AP141" s="21" t="str">
        <f t="shared" si="60"/>
        <v/>
      </c>
      <c r="AQ141" s="21">
        <f t="shared" si="61"/>
        <v>667527310</v>
      </c>
      <c r="AR141" s="21"/>
      <c r="AS141" s="27"/>
      <c r="AT141" s="19"/>
    </row>
    <row r="142" spans="2:46" ht="30" hidden="1" customHeight="1" x14ac:dyDescent="0.25">
      <c r="B142" s="34" t="s">
        <v>330</v>
      </c>
      <c r="C142" s="35">
        <v>0</v>
      </c>
      <c r="D142" s="35">
        <v>1170136108</v>
      </c>
      <c r="E142" s="35">
        <v>4340284911</v>
      </c>
      <c r="F142" s="34" t="s">
        <v>332</v>
      </c>
      <c r="K142" s="4" t="s">
        <v>357</v>
      </c>
      <c r="L142" s="26">
        <f t="shared" si="47"/>
        <v>1170136108</v>
      </c>
      <c r="M142" s="15" t="str">
        <f t="shared" si="48"/>
        <v>Đúng</v>
      </c>
      <c r="N142" s="21" t="str">
        <f t="shared" si="50"/>
        <v/>
      </c>
      <c r="O142" s="21" t="str">
        <f t="shared" si="51"/>
        <v/>
      </c>
      <c r="P142" s="21"/>
      <c r="Q142" s="18">
        <f t="shared" si="49"/>
        <v>1170136108</v>
      </c>
      <c r="R142" s="21" t="str">
        <f t="shared" si="52"/>
        <v/>
      </c>
      <c r="S142" s="21"/>
      <c r="T142" s="21"/>
      <c r="U142" s="21" t="str">
        <f t="shared" si="53"/>
        <v/>
      </c>
      <c r="V142" s="21"/>
      <c r="W142" s="21"/>
      <c r="X142" s="21"/>
      <c r="Y142" s="21"/>
      <c r="Z142" s="21"/>
      <c r="AA142" s="21"/>
      <c r="AB142" s="21"/>
      <c r="AC142" s="21"/>
      <c r="AD142" s="21"/>
      <c r="AE142" s="21"/>
      <c r="AF142" s="21"/>
      <c r="AG142" s="21"/>
      <c r="AH142" s="21" t="str">
        <f t="shared" si="54"/>
        <v/>
      </c>
      <c r="AI142" s="20"/>
      <c r="AJ142" s="21" t="str">
        <f t="shared" si="55"/>
        <v/>
      </c>
      <c r="AK142" s="26"/>
      <c r="AL142" s="21" t="str">
        <f t="shared" si="56"/>
        <v/>
      </c>
      <c r="AM142" s="21" t="str">
        <f t="shared" si="57"/>
        <v/>
      </c>
      <c r="AN142" s="21" t="str">
        <f t="shared" si="58"/>
        <v/>
      </c>
      <c r="AO142" s="21" t="str">
        <f t="shared" si="59"/>
        <v/>
      </c>
      <c r="AP142" s="21" t="str">
        <f t="shared" si="60"/>
        <v/>
      </c>
      <c r="AQ142" s="21">
        <f t="shared" si="61"/>
        <v>1170136108</v>
      </c>
      <c r="AR142" s="21"/>
      <c r="AS142" s="27"/>
      <c r="AT142" s="19"/>
    </row>
    <row r="143" spans="2:46" ht="30" hidden="1" customHeight="1" x14ac:dyDescent="0.25">
      <c r="B143" s="34" t="s">
        <v>330</v>
      </c>
      <c r="C143" s="35">
        <v>0</v>
      </c>
      <c r="D143" s="35">
        <v>196193939</v>
      </c>
      <c r="E143" s="35">
        <v>3170148803</v>
      </c>
      <c r="F143" s="34" t="s">
        <v>333</v>
      </c>
      <c r="K143" s="4" t="s">
        <v>357</v>
      </c>
      <c r="L143" s="26">
        <f t="shared" si="47"/>
        <v>196193939</v>
      </c>
      <c r="M143" s="15" t="str">
        <f t="shared" si="48"/>
        <v>Đúng</v>
      </c>
      <c r="N143" s="21" t="str">
        <f t="shared" si="50"/>
        <v/>
      </c>
      <c r="O143" s="21" t="str">
        <f t="shared" si="51"/>
        <v/>
      </c>
      <c r="P143" s="21"/>
      <c r="Q143" s="18">
        <f t="shared" si="49"/>
        <v>196193939</v>
      </c>
      <c r="R143" s="21" t="str">
        <f t="shared" si="52"/>
        <v/>
      </c>
      <c r="S143" s="21"/>
      <c r="T143" s="21"/>
      <c r="U143" s="21" t="str">
        <f t="shared" si="53"/>
        <v/>
      </c>
      <c r="V143" s="21"/>
      <c r="W143" s="21"/>
      <c r="X143" s="21"/>
      <c r="Y143" s="21"/>
      <c r="Z143" s="21"/>
      <c r="AA143" s="21"/>
      <c r="AB143" s="21"/>
      <c r="AC143" s="21"/>
      <c r="AD143" s="21"/>
      <c r="AE143" s="21"/>
      <c r="AF143" s="21"/>
      <c r="AG143" s="21"/>
      <c r="AH143" s="21" t="str">
        <f t="shared" si="54"/>
        <v/>
      </c>
      <c r="AI143" s="20"/>
      <c r="AJ143" s="21" t="str">
        <f t="shared" si="55"/>
        <v/>
      </c>
      <c r="AK143" s="26"/>
      <c r="AL143" s="21" t="str">
        <f t="shared" si="56"/>
        <v/>
      </c>
      <c r="AM143" s="21" t="str">
        <f t="shared" si="57"/>
        <v/>
      </c>
      <c r="AN143" s="21" t="str">
        <f t="shared" si="58"/>
        <v/>
      </c>
      <c r="AO143" s="21" t="str">
        <f t="shared" si="59"/>
        <v/>
      </c>
      <c r="AP143" s="21" t="str">
        <f t="shared" si="60"/>
        <v/>
      </c>
      <c r="AQ143" s="21">
        <f t="shared" si="61"/>
        <v>196193939</v>
      </c>
      <c r="AR143" s="21"/>
      <c r="AS143" s="27"/>
      <c r="AT143" s="19"/>
    </row>
    <row r="144" spans="2:46" ht="30" hidden="1" customHeight="1" x14ac:dyDescent="0.25">
      <c r="B144" s="34" t="s">
        <v>334</v>
      </c>
      <c r="C144" s="35">
        <v>0</v>
      </c>
      <c r="D144" s="35">
        <v>8400000</v>
      </c>
      <c r="E144" s="35">
        <v>5016212221</v>
      </c>
      <c r="F144" s="34" t="s">
        <v>335</v>
      </c>
      <c r="K144" s="4" t="s">
        <v>357</v>
      </c>
      <c r="L144" s="26">
        <f t="shared" si="47"/>
        <v>8400000</v>
      </c>
      <c r="M144" s="15" t="str">
        <f t="shared" si="48"/>
        <v>Đúng</v>
      </c>
      <c r="N144" s="21" t="str">
        <f t="shared" si="50"/>
        <v/>
      </c>
      <c r="O144" s="21" t="str">
        <f t="shared" si="51"/>
        <v/>
      </c>
      <c r="P144" s="21"/>
      <c r="Q144" s="18">
        <f t="shared" si="49"/>
        <v>8400000</v>
      </c>
      <c r="R144" s="21" t="str">
        <f t="shared" si="52"/>
        <v/>
      </c>
      <c r="S144" s="21"/>
      <c r="T144" s="21"/>
      <c r="U144" s="21" t="str">
        <f t="shared" si="53"/>
        <v/>
      </c>
      <c r="V144" s="21"/>
      <c r="W144" s="21"/>
      <c r="X144" s="21"/>
      <c r="Y144" s="21"/>
      <c r="Z144" s="21"/>
      <c r="AA144" s="21"/>
      <c r="AB144" s="21"/>
      <c r="AC144" s="21"/>
      <c r="AD144" s="21"/>
      <c r="AE144" s="21"/>
      <c r="AF144" s="21"/>
      <c r="AG144" s="21"/>
      <c r="AH144" s="21" t="str">
        <f t="shared" si="54"/>
        <v/>
      </c>
      <c r="AI144" s="20"/>
      <c r="AJ144" s="21" t="str">
        <f t="shared" si="55"/>
        <v/>
      </c>
      <c r="AK144" s="26"/>
      <c r="AL144" s="21" t="str">
        <f t="shared" si="56"/>
        <v/>
      </c>
      <c r="AM144" s="21" t="str">
        <f t="shared" si="57"/>
        <v/>
      </c>
      <c r="AN144" s="21" t="str">
        <f t="shared" si="58"/>
        <v/>
      </c>
      <c r="AO144" s="21" t="str">
        <f t="shared" si="59"/>
        <v/>
      </c>
      <c r="AP144" s="21" t="str">
        <f t="shared" si="60"/>
        <v/>
      </c>
      <c r="AQ144" s="21">
        <f t="shared" si="61"/>
        <v>8400000</v>
      </c>
      <c r="AR144" s="21"/>
      <c r="AS144" s="27"/>
      <c r="AT144" s="19"/>
    </row>
    <row r="145" spans="2:46" ht="30" hidden="1" customHeight="1" x14ac:dyDescent="0.25">
      <c r="B145" s="34" t="s">
        <v>336</v>
      </c>
      <c r="C145" s="35">
        <v>0</v>
      </c>
      <c r="D145" s="35">
        <v>360000</v>
      </c>
      <c r="E145" s="35">
        <v>5016572221</v>
      </c>
      <c r="F145" s="34" t="s">
        <v>337</v>
      </c>
      <c r="K145" s="4" t="s">
        <v>64</v>
      </c>
      <c r="L145" s="26">
        <f t="shared" si="47"/>
        <v>360000</v>
      </c>
      <c r="M145" s="15" t="str">
        <f t="shared" si="48"/>
        <v>Đúng</v>
      </c>
      <c r="N145" s="21" t="str">
        <f t="shared" si="50"/>
        <v/>
      </c>
      <c r="O145" s="21" t="str">
        <f t="shared" si="51"/>
        <v/>
      </c>
      <c r="P145" s="21"/>
      <c r="Q145" s="18">
        <f t="shared" si="49"/>
        <v>360000</v>
      </c>
      <c r="R145" s="21" t="str">
        <f t="shared" si="52"/>
        <v/>
      </c>
      <c r="S145" s="21"/>
      <c r="T145" s="21"/>
      <c r="U145" s="21" t="str">
        <f t="shared" si="53"/>
        <v/>
      </c>
      <c r="V145" s="21"/>
      <c r="W145" s="21"/>
      <c r="X145" s="21"/>
      <c r="Y145" s="21"/>
      <c r="Z145" s="21"/>
      <c r="AA145" s="21"/>
      <c r="AB145" s="21"/>
      <c r="AC145" s="21"/>
      <c r="AD145" s="21"/>
      <c r="AE145" s="21"/>
      <c r="AF145" s="21"/>
      <c r="AG145" s="21"/>
      <c r="AH145" s="21" t="str">
        <f t="shared" si="54"/>
        <v/>
      </c>
      <c r="AI145" s="20"/>
      <c r="AJ145" s="21" t="str">
        <f t="shared" si="55"/>
        <v/>
      </c>
      <c r="AK145" s="26"/>
      <c r="AL145" s="21" t="str">
        <f t="shared" si="56"/>
        <v/>
      </c>
      <c r="AM145" s="21" t="str">
        <f t="shared" si="57"/>
        <v/>
      </c>
      <c r="AN145" s="21">
        <f t="shared" si="58"/>
        <v>360000</v>
      </c>
      <c r="AO145" s="21" t="str">
        <f t="shared" si="59"/>
        <v/>
      </c>
      <c r="AP145" s="21" t="str">
        <f t="shared" si="60"/>
        <v/>
      </c>
      <c r="AQ145" s="21" t="str">
        <f t="shared" si="61"/>
        <v/>
      </c>
      <c r="AR145" s="21"/>
      <c r="AS145" s="27"/>
      <c r="AT145" s="19"/>
    </row>
    <row r="146" spans="2:46" ht="30" hidden="1" customHeight="1" x14ac:dyDescent="0.25">
      <c r="B146" s="34" t="s">
        <v>338</v>
      </c>
      <c r="C146" s="35">
        <v>0</v>
      </c>
      <c r="D146" s="35">
        <v>1440000</v>
      </c>
      <c r="E146" s="35">
        <v>5018012221</v>
      </c>
      <c r="F146" s="34" t="s">
        <v>339</v>
      </c>
      <c r="K146" s="4" t="s">
        <v>64</v>
      </c>
      <c r="L146" s="26">
        <f t="shared" si="47"/>
        <v>1440000</v>
      </c>
      <c r="M146" s="15" t="str">
        <f t="shared" si="48"/>
        <v>Đúng</v>
      </c>
      <c r="N146" s="21" t="str">
        <f t="shared" si="50"/>
        <v/>
      </c>
      <c r="O146" s="21" t="str">
        <f t="shared" si="51"/>
        <v/>
      </c>
      <c r="P146" s="21"/>
      <c r="Q146" s="18">
        <f t="shared" si="49"/>
        <v>1440000</v>
      </c>
      <c r="R146" s="21" t="str">
        <f t="shared" si="52"/>
        <v/>
      </c>
      <c r="S146" s="21"/>
      <c r="T146" s="21"/>
      <c r="U146" s="21" t="str">
        <f t="shared" si="53"/>
        <v/>
      </c>
      <c r="V146" s="21"/>
      <c r="W146" s="21"/>
      <c r="X146" s="21"/>
      <c r="Y146" s="21"/>
      <c r="Z146" s="21"/>
      <c r="AA146" s="21"/>
      <c r="AB146" s="21"/>
      <c r="AC146" s="21"/>
      <c r="AD146" s="21"/>
      <c r="AE146" s="21"/>
      <c r="AF146" s="21"/>
      <c r="AG146" s="21"/>
      <c r="AH146" s="21" t="str">
        <f t="shared" si="54"/>
        <v/>
      </c>
      <c r="AI146" s="20"/>
      <c r="AJ146" s="21" t="str">
        <f t="shared" si="55"/>
        <v/>
      </c>
      <c r="AK146" s="26"/>
      <c r="AL146" s="21" t="str">
        <f t="shared" si="56"/>
        <v/>
      </c>
      <c r="AM146" s="21" t="str">
        <f t="shared" si="57"/>
        <v/>
      </c>
      <c r="AN146" s="21">
        <f t="shared" si="58"/>
        <v>1440000</v>
      </c>
      <c r="AO146" s="21" t="str">
        <f t="shared" si="59"/>
        <v/>
      </c>
      <c r="AP146" s="21" t="str">
        <f t="shared" si="60"/>
        <v/>
      </c>
      <c r="AQ146" s="21" t="str">
        <f t="shared" si="61"/>
        <v/>
      </c>
      <c r="AR146" s="21"/>
      <c r="AS146" s="27"/>
      <c r="AT146" s="19"/>
    </row>
    <row r="147" spans="2:46" ht="30" hidden="1" customHeight="1" x14ac:dyDescent="0.25">
      <c r="B147" s="34" t="s">
        <v>340</v>
      </c>
      <c r="C147" s="35">
        <v>0</v>
      </c>
      <c r="D147" s="35">
        <v>360000</v>
      </c>
      <c r="E147" s="35">
        <v>5018372221</v>
      </c>
      <c r="F147" s="34" t="s">
        <v>341</v>
      </c>
      <c r="K147" s="4" t="s">
        <v>64</v>
      </c>
      <c r="L147" s="26">
        <f t="shared" si="47"/>
        <v>360000</v>
      </c>
      <c r="M147" s="15" t="str">
        <f t="shared" si="48"/>
        <v>Đúng</v>
      </c>
      <c r="N147" s="21" t="str">
        <f t="shared" si="50"/>
        <v/>
      </c>
      <c r="O147" s="21" t="str">
        <f t="shared" si="51"/>
        <v/>
      </c>
      <c r="P147" s="21"/>
      <c r="Q147" s="18">
        <f t="shared" si="49"/>
        <v>360000</v>
      </c>
      <c r="R147" s="21" t="str">
        <f t="shared" si="52"/>
        <v/>
      </c>
      <c r="S147" s="21"/>
      <c r="T147" s="21"/>
      <c r="U147" s="21" t="str">
        <f t="shared" si="53"/>
        <v/>
      </c>
      <c r="V147" s="21"/>
      <c r="W147" s="21"/>
      <c r="X147" s="21"/>
      <c r="Y147" s="21"/>
      <c r="Z147" s="21"/>
      <c r="AA147" s="21"/>
      <c r="AB147" s="21"/>
      <c r="AC147" s="21"/>
      <c r="AD147" s="21"/>
      <c r="AE147" s="21"/>
      <c r="AF147" s="21"/>
      <c r="AG147" s="21"/>
      <c r="AH147" s="21" t="str">
        <f t="shared" si="54"/>
        <v/>
      </c>
      <c r="AI147" s="20"/>
      <c r="AJ147" s="21" t="str">
        <f t="shared" si="55"/>
        <v/>
      </c>
      <c r="AK147" s="26"/>
      <c r="AL147" s="21" t="str">
        <f t="shared" si="56"/>
        <v/>
      </c>
      <c r="AM147" s="21" t="str">
        <f t="shared" si="57"/>
        <v/>
      </c>
      <c r="AN147" s="21">
        <f t="shared" si="58"/>
        <v>360000</v>
      </c>
      <c r="AO147" s="21" t="str">
        <f t="shared" si="59"/>
        <v/>
      </c>
      <c r="AP147" s="21" t="str">
        <f t="shared" si="60"/>
        <v/>
      </c>
      <c r="AQ147" s="21" t="str">
        <f t="shared" si="61"/>
        <v/>
      </c>
      <c r="AR147" s="21"/>
      <c r="AS147" s="27"/>
      <c r="AT147" s="19"/>
    </row>
    <row r="148" spans="2:46" ht="30" hidden="1" customHeight="1" x14ac:dyDescent="0.25">
      <c r="B148" s="34" t="s">
        <v>342</v>
      </c>
      <c r="C148" s="35">
        <v>2033857357</v>
      </c>
      <c r="D148" s="35">
        <v>0</v>
      </c>
      <c r="E148" s="35">
        <v>2984514864</v>
      </c>
      <c r="F148" s="34" t="s">
        <v>343</v>
      </c>
      <c r="L148" s="26">
        <f t="shared" si="47"/>
        <v>0</v>
      </c>
      <c r="M148" s="15" t="str">
        <f t="shared" si="48"/>
        <v>Đúng</v>
      </c>
      <c r="N148" s="21" t="str">
        <f t="shared" si="50"/>
        <v/>
      </c>
      <c r="O148" s="21" t="str">
        <f t="shared" si="51"/>
        <v/>
      </c>
      <c r="P148" s="21"/>
      <c r="Q148" s="18">
        <f t="shared" si="49"/>
        <v>0</v>
      </c>
      <c r="R148" s="21" t="str">
        <f t="shared" si="52"/>
        <v/>
      </c>
      <c r="S148" s="21"/>
      <c r="T148" s="21"/>
      <c r="U148" s="21" t="str">
        <f t="shared" si="53"/>
        <v/>
      </c>
      <c r="V148" s="21"/>
      <c r="W148" s="21"/>
      <c r="X148" s="21"/>
      <c r="Y148" s="21"/>
      <c r="Z148" s="21"/>
      <c r="AA148" s="21"/>
      <c r="AB148" s="21"/>
      <c r="AC148" s="21"/>
      <c r="AD148" s="21"/>
      <c r="AE148" s="21"/>
      <c r="AF148" s="21"/>
      <c r="AG148" s="21"/>
      <c r="AH148" s="21" t="str">
        <f t="shared" si="54"/>
        <v/>
      </c>
      <c r="AI148" s="20"/>
      <c r="AJ148" s="21" t="str">
        <f t="shared" si="55"/>
        <v/>
      </c>
      <c r="AK148" s="26"/>
      <c r="AL148" s="21" t="str">
        <f t="shared" si="56"/>
        <v/>
      </c>
      <c r="AM148" s="21" t="str">
        <f t="shared" si="57"/>
        <v/>
      </c>
      <c r="AN148" s="21" t="str">
        <f t="shared" si="58"/>
        <v/>
      </c>
      <c r="AO148" s="21" t="str">
        <f t="shared" si="59"/>
        <v/>
      </c>
      <c r="AP148" s="21" t="str">
        <f t="shared" si="60"/>
        <v/>
      </c>
      <c r="AQ148" s="21" t="str">
        <f t="shared" si="61"/>
        <v/>
      </c>
      <c r="AR148" s="21"/>
      <c r="AS148" s="27"/>
      <c r="AT148" s="19"/>
    </row>
    <row r="149" spans="2:46" ht="30" hidden="1" customHeight="1" x14ac:dyDescent="0.25">
      <c r="B149" s="34" t="s">
        <v>344</v>
      </c>
      <c r="C149" s="35">
        <v>1456400</v>
      </c>
      <c r="D149" s="35">
        <v>0</v>
      </c>
      <c r="E149" s="35">
        <v>2983058464</v>
      </c>
      <c r="F149" s="34" t="s">
        <v>345</v>
      </c>
      <c r="L149" s="26">
        <f t="shared" si="47"/>
        <v>0</v>
      </c>
      <c r="M149" s="15" t="str">
        <f t="shared" si="48"/>
        <v>Đúng</v>
      </c>
      <c r="N149" s="21" t="str">
        <f t="shared" si="50"/>
        <v/>
      </c>
      <c r="O149" s="21" t="str">
        <f t="shared" si="51"/>
        <v/>
      </c>
      <c r="P149" s="21"/>
      <c r="Q149" s="18">
        <f t="shared" si="49"/>
        <v>0</v>
      </c>
      <c r="R149" s="21" t="str">
        <f t="shared" si="52"/>
        <v/>
      </c>
      <c r="S149" s="21"/>
      <c r="T149" s="21"/>
      <c r="U149" s="21" t="str">
        <f t="shared" si="53"/>
        <v/>
      </c>
      <c r="V149" s="21"/>
      <c r="W149" s="21"/>
      <c r="X149" s="21"/>
      <c r="Y149" s="21"/>
      <c r="Z149" s="21"/>
      <c r="AA149" s="21"/>
      <c r="AB149" s="21"/>
      <c r="AC149" s="21"/>
      <c r="AD149" s="21"/>
      <c r="AE149" s="21"/>
      <c r="AF149" s="21"/>
      <c r="AG149" s="21"/>
      <c r="AH149" s="21" t="str">
        <f t="shared" si="54"/>
        <v/>
      </c>
      <c r="AI149" s="20"/>
      <c r="AJ149" s="21" t="str">
        <f t="shared" si="55"/>
        <v/>
      </c>
      <c r="AK149" s="26"/>
      <c r="AL149" s="21" t="str">
        <f t="shared" si="56"/>
        <v/>
      </c>
      <c r="AM149" s="21" t="str">
        <f t="shared" si="57"/>
        <v/>
      </c>
      <c r="AN149" s="21" t="str">
        <f t="shared" si="58"/>
        <v/>
      </c>
      <c r="AO149" s="21" t="str">
        <f t="shared" si="59"/>
        <v/>
      </c>
      <c r="AP149" s="21" t="str">
        <f t="shared" si="60"/>
        <v/>
      </c>
      <c r="AQ149" s="21" t="str">
        <f t="shared" si="61"/>
        <v/>
      </c>
      <c r="AR149" s="21"/>
      <c r="AS149" s="27"/>
      <c r="AT149" s="19"/>
    </row>
    <row r="150" spans="2:46" ht="30" hidden="1" customHeight="1" x14ac:dyDescent="0.25">
      <c r="B150" s="47" t="s">
        <v>474</v>
      </c>
      <c r="C150" s="48">
        <v>0</v>
      </c>
      <c r="D150" s="48">
        <v>180000</v>
      </c>
      <c r="E150" s="48">
        <v>2983238464</v>
      </c>
      <c r="F150" s="47" t="s">
        <v>475</v>
      </c>
      <c r="K150" s="4" t="s">
        <v>64</v>
      </c>
      <c r="L150" s="26">
        <f t="shared" ref="L150:L213" si="62">D150</f>
        <v>180000</v>
      </c>
      <c r="M150" s="15" t="str">
        <f t="shared" ref="M150:M213" si="63">IF(Q150=L150, "Đúng", "Sai")</f>
        <v>Đúng</v>
      </c>
      <c r="N150" s="21" t="str">
        <f t="shared" si="50"/>
        <v/>
      </c>
      <c r="O150" s="21" t="str">
        <f t="shared" si="51"/>
        <v/>
      </c>
      <c r="P150" s="21"/>
      <c r="Q150" s="18">
        <f t="shared" ref="Q150:Q213" si="64">SUM(R150:AQ150)+SUM(N150:P150)</f>
        <v>180000</v>
      </c>
      <c r="R150" s="21" t="str">
        <f t="shared" si="52"/>
        <v/>
      </c>
      <c r="S150" s="21"/>
      <c r="T150" s="21"/>
      <c r="U150" s="21" t="str">
        <f t="shared" si="53"/>
        <v/>
      </c>
      <c r="V150" s="21"/>
      <c r="W150" s="21"/>
      <c r="X150" s="21"/>
      <c r="Y150" s="21"/>
      <c r="Z150" s="21"/>
      <c r="AA150" s="21"/>
      <c r="AB150" s="21"/>
      <c r="AC150" s="21"/>
      <c r="AD150" s="21"/>
      <c r="AE150" s="21"/>
      <c r="AF150" s="21"/>
      <c r="AG150" s="21"/>
      <c r="AH150" s="21" t="str">
        <f t="shared" si="54"/>
        <v/>
      </c>
      <c r="AI150" s="20"/>
      <c r="AJ150" s="21" t="str">
        <f t="shared" si="55"/>
        <v/>
      </c>
      <c r="AK150" s="26"/>
      <c r="AL150" s="21" t="str">
        <f t="shared" si="56"/>
        <v/>
      </c>
      <c r="AM150" s="21" t="str">
        <f t="shared" si="57"/>
        <v/>
      </c>
      <c r="AN150" s="21">
        <f t="shared" si="58"/>
        <v>180000</v>
      </c>
      <c r="AO150" s="21" t="str">
        <f t="shared" si="59"/>
        <v/>
      </c>
      <c r="AP150" s="21" t="str">
        <f t="shared" si="60"/>
        <v/>
      </c>
      <c r="AQ150" s="21" t="str">
        <f t="shared" si="61"/>
        <v/>
      </c>
      <c r="AR150" s="21"/>
      <c r="AS150" s="27"/>
      <c r="AT150" s="19"/>
    </row>
    <row r="151" spans="2:46" ht="30" hidden="1" customHeight="1" x14ac:dyDescent="0.25">
      <c r="B151" s="47" t="s">
        <v>476</v>
      </c>
      <c r="C151" s="48">
        <v>0</v>
      </c>
      <c r="D151" s="48">
        <v>180000</v>
      </c>
      <c r="E151" s="48">
        <v>2983418464</v>
      </c>
      <c r="F151" s="47" t="s">
        <v>477</v>
      </c>
      <c r="K151" s="4" t="s">
        <v>64</v>
      </c>
      <c r="L151" s="26">
        <f t="shared" si="62"/>
        <v>180000</v>
      </c>
      <c r="M151" s="15" t="str">
        <f t="shared" si="63"/>
        <v>Đúng</v>
      </c>
      <c r="N151" s="21" t="str">
        <f t="shared" si="50"/>
        <v/>
      </c>
      <c r="O151" s="21" t="str">
        <f t="shared" si="51"/>
        <v/>
      </c>
      <c r="P151" s="21"/>
      <c r="Q151" s="18">
        <f t="shared" si="64"/>
        <v>180000</v>
      </c>
      <c r="R151" s="21" t="str">
        <f t="shared" si="52"/>
        <v/>
      </c>
      <c r="S151" s="21"/>
      <c r="T151" s="21"/>
      <c r="U151" s="21" t="str">
        <f t="shared" si="53"/>
        <v/>
      </c>
      <c r="V151" s="21"/>
      <c r="W151" s="21"/>
      <c r="X151" s="21"/>
      <c r="Y151" s="21"/>
      <c r="Z151" s="21"/>
      <c r="AA151" s="21"/>
      <c r="AB151" s="21"/>
      <c r="AC151" s="21"/>
      <c r="AD151" s="21"/>
      <c r="AE151" s="21"/>
      <c r="AF151" s="21"/>
      <c r="AG151" s="21"/>
      <c r="AH151" s="21" t="str">
        <f t="shared" si="54"/>
        <v/>
      </c>
      <c r="AI151" s="20"/>
      <c r="AJ151" s="21" t="str">
        <f t="shared" si="55"/>
        <v/>
      </c>
      <c r="AK151" s="26"/>
      <c r="AL151" s="21" t="str">
        <f t="shared" si="56"/>
        <v/>
      </c>
      <c r="AM151" s="21" t="str">
        <f t="shared" si="57"/>
        <v/>
      </c>
      <c r="AN151" s="21">
        <f t="shared" si="58"/>
        <v>180000</v>
      </c>
      <c r="AO151" s="21" t="str">
        <f t="shared" si="59"/>
        <v/>
      </c>
      <c r="AP151" s="21" t="str">
        <f t="shared" si="60"/>
        <v/>
      </c>
      <c r="AQ151" s="21" t="str">
        <f t="shared" si="61"/>
        <v/>
      </c>
      <c r="AR151" s="21"/>
      <c r="AS151" s="27"/>
      <c r="AT151" s="19"/>
    </row>
    <row r="152" spans="2:46" ht="30" hidden="1" customHeight="1" x14ac:dyDescent="0.25">
      <c r="B152" s="47" t="s">
        <v>478</v>
      </c>
      <c r="C152" s="48">
        <v>0</v>
      </c>
      <c r="D152" s="48">
        <v>200000</v>
      </c>
      <c r="E152" s="48">
        <v>2983618464</v>
      </c>
      <c r="F152" s="47" t="s">
        <v>479</v>
      </c>
      <c r="K152" s="4" t="s">
        <v>69</v>
      </c>
      <c r="L152" s="26">
        <f t="shared" si="62"/>
        <v>200000</v>
      </c>
      <c r="M152" s="15" t="str">
        <f t="shared" si="63"/>
        <v>Đúng</v>
      </c>
      <c r="N152" s="21" t="str">
        <f t="shared" si="50"/>
        <v/>
      </c>
      <c r="O152" s="21" t="str">
        <f t="shared" si="51"/>
        <v/>
      </c>
      <c r="P152" s="21"/>
      <c r="Q152" s="18">
        <f t="shared" si="64"/>
        <v>200000</v>
      </c>
      <c r="R152" s="21">
        <f t="shared" si="52"/>
        <v>200000</v>
      </c>
      <c r="S152" s="21"/>
      <c r="T152" s="21"/>
      <c r="U152" s="21" t="str">
        <f t="shared" si="53"/>
        <v/>
      </c>
      <c r="V152" s="21"/>
      <c r="W152" s="21"/>
      <c r="X152" s="21"/>
      <c r="Y152" s="21"/>
      <c r="Z152" s="21"/>
      <c r="AA152" s="21"/>
      <c r="AB152" s="21"/>
      <c r="AC152" s="21"/>
      <c r="AD152" s="21"/>
      <c r="AE152" s="21"/>
      <c r="AF152" s="21"/>
      <c r="AG152" s="21"/>
      <c r="AH152" s="21" t="str">
        <f t="shared" si="54"/>
        <v/>
      </c>
      <c r="AI152" s="20"/>
      <c r="AJ152" s="21" t="str">
        <f t="shared" si="55"/>
        <v/>
      </c>
      <c r="AK152" s="26"/>
      <c r="AL152" s="21" t="str">
        <f t="shared" si="56"/>
        <v/>
      </c>
      <c r="AM152" s="21" t="str">
        <f t="shared" si="57"/>
        <v/>
      </c>
      <c r="AN152" s="21" t="str">
        <f t="shared" si="58"/>
        <v/>
      </c>
      <c r="AO152" s="21" t="str">
        <f t="shared" si="59"/>
        <v/>
      </c>
      <c r="AP152" s="21" t="str">
        <f t="shared" si="60"/>
        <v/>
      </c>
      <c r="AQ152" s="21" t="str">
        <f t="shared" si="61"/>
        <v/>
      </c>
      <c r="AR152" s="21"/>
      <c r="AS152" s="27"/>
      <c r="AT152" s="19"/>
    </row>
    <row r="153" spans="2:46" ht="30" customHeight="1" x14ac:dyDescent="0.25">
      <c r="B153" s="47" t="s">
        <v>480</v>
      </c>
      <c r="C153" s="48">
        <v>0</v>
      </c>
      <c r="D153" s="48">
        <v>3024000</v>
      </c>
      <c r="E153" s="48">
        <v>2986642464</v>
      </c>
      <c r="F153" s="47" t="s">
        <v>481</v>
      </c>
      <c r="K153" s="4" t="s">
        <v>67</v>
      </c>
      <c r="L153" s="26">
        <f t="shared" si="62"/>
        <v>3024000</v>
      </c>
      <c r="M153" s="15" t="str">
        <f t="shared" si="63"/>
        <v>Đúng</v>
      </c>
      <c r="N153" s="21">
        <f t="shared" si="50"/>
        <v>3024000</v>
      </c>
      <c r="O153" s="21" t="str">
        <f t="shared" si="51"/>
        <v/>
      </c>
      <c r="P153" s="21"/>
      <c r="Q153" s="18">
        <f t="shared" si="64"/>
        <v>3024000</v>
      </c>
      <c r="R153" s="21" t="str">
        <f t="shared" si="52"/>
        <v/>
      </c>
      <c r="S153" s="21"/>
      <c r="T153" s="21"/>
      <c r="U153" s="21" t="str">
        <f t="shared" si="53"/>
        <v/>
      </c>
      <c r="V153" s="21"/>
      <c r="W153" s="21"/>
      <c r="X153" s="21"/>
      <c r="Y153" s="21"/>
      <c r="Z153" s="21"/>
      <c r="AA153" s="21"/>
      <c r="AB153" s="21"/>
      <c r="AC153" s="21"/>
      <c r="AD153" s="21"/>
      <c r="AE153" s="21"/>
      <c r="AF153" s="21"/>
      <c r="AG153" s="21"/>
      <c r="AH153" s="21" t="str">
        <f t="shared" si="54"/>
        <v/>
      </c>
      <c r="AI153" s="20"/>
      <c r="AJ153" s="21" t="str">
        <f t="shared" si="55"/>
        <v/>
      </c>
      <c r="AK153" s="26"/>
      <c r="AL153" s="21" t="str">
        <f t="shared" si="56"/>
        <v/>
      </c>
      <c r="AM153" s="21" t="str">
        <f t="shared" si="57"/>
        <v/>
      </c>
      <c r="AN153" s="21" t="str">
        <f t="shared" si="58"/>
        <v/>
      </c>
      <c r="AO153" s="21" t="str">
        <f t="shared" si="59"/>
        <v/>
      </c>
      <c r="AP153" s="21" t="str">
        <f t="shared" si="60"/>
        <v/>
      </c>
      <c r="AQ153" s="21" t="str">
        <f t="shared" si="61"/>
        <v/>
      </c>
      <c r="AR153" s="21"/>
      <c r="AS153" s="27"/>
      <c r="AT153" s="19"/>
    </row>
    <row r="154" spans="2:46" ht="30" customHeight="1" x14ac:dyDescent="0.25">
      <c r="B154" s="47" t="s">
        <v>482</v>
      </c>
      <c r="C154" s="48">
        <v>0</v>
      </c>
      <c r="D154" s="48">
        <v>3024000</v>
      </c>
      <c r="E154" s="48">
        <v>2989666464</v>
      </c>
      <c r="F154" s="47" t="s">
        <v>483</v>
      </c>
      <c r="K154" s="4" t="s">
        <v>67</v>
      </c>
      <c r="L154" s="26">
        <f t="shared" si="62"/>
        <v>3024000</v>
      </c>
      <c r="M154" s="15" t="str">
        <f t="shared" si="63"/>
        <v>Đúng</v>
      </c>
      <c r="N154" s="21">
        <f t="shared" si="50"/>
        <v>3024000</v>
      </c>
      <c r="O154" s="21" t="str">
        <f t="shared" si="51"/>
        <v/>
      </c>
      <c r="P154" s="21"/>
      <c r="Q154" s="18">
        <f t="shared" si="64"/>
        <v>3024000</v>
      </c>
      <c r="R154" s="21" t="str">
        <f t="shared" si="52"/>
        <v/>
      </c>
      <c r="S154" s="21"/>
      <c r="T154" s="21"/>
      <c r="U154" s="21" t="str">
        <f t="shared" si="53"/>
        <v/>
      </c>
      <c r="V154" s="21"/>
      <c r="W154" s="21"/>
      <c r="X154" s="21"/>
      <c r="Y154" s="21"/>
      <c r="Z154" s="21"/>
      <c r="AA154" s="21"/>
      <c r="AB154" s="21"/>
      <c r="AC154" s="21"/>
      <c r="AD154" s="21"/>
      <c r="AE154" s="21"/>
      <c r="AF154" s="21"/>
      <c r="AG154" s="21"/>
      <c r="AH154" s="21" t="str">
        <f t="shared" si="54"/>
        <v/>
      </c>
      <c r="AI154" s="20"/>
      <c r="AJ154" s="21" t="str">
        <f t="shared" si="55"/>
        <v/>
      </c>
      <c r="AK154" s="26"/>
      <c r="AL154" s="21" t="str">
        <f t="shared" si="56"/>
        <v/>
      </c>
      <c r="AM154" s="21" t="str">
        <f t="shared" si="57"/>
        <v/>
      </c>
      <c r="AN154" s="21" t="str">
        <f t="shared" si="58"/>
        <v/>
      </c>
      <c r="AO154" s="21" t="str">
        <f t="shared" si="59"/>
        <v/>
      </c>
      <c r="AP154" s="21" t="str">
        <f t="shared" si="60"/>
        <v/>
      </c>
      <c r="AQ154" s="21" t="str">
        <f t="shared" si="61"/>
        <v/>
      </c>
      <c r="AR154" s="21"/>
      <c r="AS154" s="27"/>
      <c r="AT154" s="19"/>
    </row>
    <row r="155" spans="2:46" ht="30" hidden="1" customHeight="1" x14ac:dyDescent="0.25">
      <c r="B155" s="47" t="s">
        <v>484</v>
      </c>
      <c r="C155" s="48">
        <v>0</v>
      </c>
      <c r="D155" s="48">
        <v>180000</v>
      </c>
      <c r="E155" s="48">
        <v>2989846464</v>
      </c>
      <c r="F155" s="47" t="s">
        <v>485</v>
      </c>
      <c r="K155" s="4" t="s">
        <v>64</v>
      </c>
      <c r="L155" s="26">
        <f t="shared" si="62"/>
        <v>180000</v>
      </c>
      <c r="M155" s="15" t="str">
        <f t="shared" si="63"/>
        <v>Đúng</v>
      </c>
      <c r="N155" s="21" t="str">
        <f t="shared" si="50"/>
        <v/>
      </c>
      <c r="O155" s="21" t="str">
        <f t="shared" si="51"/>
        <v/>
      </c>
      <c r="P155" s="21"/>
      <c r="Q155" s="18">
        <f t="shared" si="64"/>
        <v>180000</v>
      </c>
      <c r="R155" s="21" t="str">
        <f t="shared" si="52"/>
        <v/>
      </c>
      <c r="S155" s="21"/>
      <c r="T155" s="21"/>
      <c r="U155" s="21" t="str">
        <f t="shared" si="53"/>
        <v/>
      </c>
      <c r="V155" s="21"/>
      <c r="W155" s="21"/>
      <c r="X155" s="21"/>
      <c r="Y155" s="21"/>
      <c r="Z155" s="21"/>
      <c r="AA155" s="21"/>
      <c r="AB155" s="21"/>
      <c r="AC155" s="21"/>
      <c r="AD155" s="21"/>
      <c r="AE155" s="21"/>
      <c r="AF155" s="21"/>
      <c r="AG155" s="21"/>
      <c r="AH155" s="21" t="str">
        <f t="shared" si="54"/>
        <v/>
      </c>
      <c r="AI155" s="20"/>
      <c r="AJ155" s="21" t="str">
        <f t="shared" si="55"/>
        <v/>
      </c>
      <c r="AK155" s="26"/>
      <c r="AL155" s="21" t="str">
        <f t="shared" si="56"/>
        <v/>
      </c>
      <c r="AM155" s="21" t="str">
        <f t="shared" si="57"/>
        <v/>
      </c>
      <c r="AN155" s="21">
        <f t="shared" si="58"/>
        <v>180000</v>
      </c>
      <c r="AO155" s="21" t="str">
        <f t="shared" si="59"/>
        <v/>
      </c>
      <c r="AP155" s="21" t="str">
        <f t="shared" si="60"/>
        <v/>
      </c>
      <c r="AQ155" s="21" t="str">
        <f t="shared" si="61"/>
        <v/>
      </c>
      <c r="AR155" s="21"/>
      <c r="AS155" s="27"/>
      <c r="AT155" s="19"/>
    </row>
    <row r="156" spans="2:46" ht="30" hidden="1" customHeight="1" x14ac:dyDescent="0.25">
      <c r="B156" s="47" t="s">
        <v>486</v>
      </c>
      <c r="C156" s="48">
        <v>0</v>
      </c>
      <c r="D156" s="48">
        <v>2088000</v>
      </c>
      <c r="E156" s="48">
        <v>2991934464</v>
      </c>
      <c r="F156" s="47" t="s">
        <v>487</v>
      </c>
      <c r="K156" s="4" t="s">
        <v>492</v>
      </c>
      <c r="L156" s="26">
        <f t="shared" si="62"/>
        <v>2088000</v>
      </c>
      <c r="M156" s="15" t="str">
        <f t="shared" si="63"/>
        <v>Sai</v>
      </c>
      <c r="N156" s="21" t="str">
        <f t="shared" si="50"/>
        <v/>
      </c>
      <c r="O156" s="21" t="str">
        <f t="shared" si="51"/>
        <v/>
      </c>
      <c r="P156" s="21"/>
      <c r="Q156" s="18">
        <f t="shared" si="64"/>
        <v>0</v>
      </c>
      <c r="R156" s="21" t="str">
        <f t="shared" si="52"/>
        <v/>
      </c>
      <c r="S156" s="21"/>
      <c r="T156" s="21"/>
      <c r="U156" s="21" t="str">
        <f t="shared" si="53"/>
        <v/>
      </c>
      <c r="V156" s="21"/>
      <c r="W156" s="21"/>
      <c r="X156" s="21"/>
      <c r="Y156" s="21"/>
      <c r="Z156" s="21"/>
      <c r="AA156" s="21"/>
      <c r="AB156" s="21"/>
      <c r="AC156" s="21"/>
      <c r="AD156" s="21"/>
      <c r="AE156" s="21"/>
      <c r="AF156" s="21"/>
      <c r="AG156" s="21"/>
      <c r="AH156" s="21" t="str">
        <f t="shared" si="54"/>
        <v/>
      </c>
      <c r="AI156" s="20"/>
      <c r="AJ156" s="21" t="str">
        <f t="shared" si="55"/>
        <v/>
      </c>
      <c r="AK156" s="26"/>
      <c r="AL156" s="21" t="str">
        <f t="shared" si="56"/>
        <v/>
      </c>
      <c r="AM156" s="21" t="str">
        <f t="shared" si="57"/>
        <v/>
      </c>
      <c r="AN156" s="21" t="str">
        <f t="shared" si="58"/>
        <v/>
      </c>
      <c r="AO156" s="21" t="str">
        <f t="shared" si="59"/>
        <v/>
      </c>
      <c r="AP156" s="21" t="str">
        <f t="shared" si="60"/>
        <v/>
      </c>
      <c r="AQ156" s="21" t="str">
        <f t="shared" si="61"/>
        <v/>
      </c>
      <c r="AR156" s="21"/>
      <c r="AS156" s="27"/>
      <c r="AT156" s="19"/>
    </row>
    <row r="157" spans="2:46" ht="30" hidden="1" customHeight="1" x14ac:dyDescent="0.25">
      <c r="B157" s="47" t="s">
        <v>488</v>
      </c>
      <c r="C157" s="48">
        <v>0</v>
      </c>
      <c r="D157" s="48">
        <v>5400000</v>
      </c>
      <c r="E157" s="48">
        <v>2997334464</v>
      </c>
      <c r="F157" s="47" t="s">
        <v>489</v>
      </c>
      <c r="K157" s="4" t="s">
        <v>64</v>
      </c>
      <c r="L157" s="26">
        <f t="shared" si="62"/>
        <v>5400000</v>
      </c>
      <c r="M157" s="15" t="str">
        <f t="shared" si="63"/>
        <v>Đúng</v>
      </c>
      <c r="N157" s="21" t="str">
        <f t="shared" si="50"/>
        <v/>
      </c>
      <c r="O157" s="21" t="str">
        <f t="shared" si="51"/>
        <v/>
      </c>
      <c r="P157" s="21"/>
      <c r="Q157" s="18">
        <f t="shared" si="64"/>
        <v>5400000</v>
      </c>
      <c r="R157" s="21" t="str">
        <f t="shared" si="52"/>
        <v/>
      </c>
      <c r="S157" s="21"/>
      <c r="T157" s="21"/>
      <c r="U157" s="21" t="str">
        <f t="shared" si="53"/>
        <v/>
      </c>
      <c r="V157" s="21"/>
      <c r="W157" s="21"/>
      <c r="X157" s="21"/>
      <c r="Y157" s="21"/>
      <c r="Z157" s="21"/>
      <c r="AA157" s="21"/>
      <c r="AB157" s="21"/>
      <c r="AC157" s="21"/>
      <c r="AD157" s="21"/>
      <c r="AE157" s="21"/>
      <c r="AF157" s="21"/>
      <c r="AG157" s="21"/>
      <c r="AH157" s="21" t="str">
        <f t="shared" si="54"/>
        <v/>
      </c>
      <c r="AI157" s="20"/>
      <c r="AJ157" s="21" t="str">
        <f t="shared" si="55"/>
        <v/>
      </c>
      <c r="AK157" s="26"/>
      <c r="AL157" s="21" t="str">
        <f t="shared" si="56"/>
        <v/>
      </c>
      <c r="AM157" s="21" t="str">
        <f t="shared" si="57"/>
        <v/>
      </c>
      <c r="AN157" s="21">
        <f t="shared" si="58"/>
        <v>5400000</v>
      </c>
      <c r="AO157" s="21" t="str">
        <f t="shared" si="59"/>
        <v/>
      </c>
      <c r="AP157" s="21" t="str">
        <f t="shared" si="60"/>
        <v/>
      </c>
      <c r="AQ157" s="21" t="str">
        <f t="shared" si="61"/>
        <v/>
      </c>
      <c r="AR157" s="21"/>
      <c r="AS157" s="27"/>
      <c r="AT157" s="19"/>
    </row>
    <row r="158" spans="2:46" ht="30" hidden="1" customHeight="1" x14ac:dyDescent="0.25">
      <c r="B158" s="47" t="s">
        <v>490</v>
      </c>
      <c r="C158" s="48">
        <v>0</v>
      </c>
      <c r="D158" s="48">
        <v>540000</v>
      </c>
      <c r="E158" s="48">
        <v>2997874464</v>
      </c>
      <c r="F158" s="47" t="s">
        <v>491</v>
      </c>
      <c r="K158" s="4" t="s">
        <v>64</v>
      </c>
      <c r="L158" s="26">
        <f t="shared" si="62"/>
        <v>540000</v>
      </c>
      <c r="M158" s="15" t="str">
        <f t="shared" si="63"/>
        <v>Đúng</v>
      </c>
      <c r="N158" s="21" t="str">
        <f t="shared" si="50"/>
        <v/>
      </c>
      <c r="O158" s="21" t="str">
        <f t="shared" si="51"/>
        <v/>
      </c>
      <c r="P158" s="21"/>
      <c r="Q158" s="18">
        <f t="shared" si="64"/>
        <v>540000</v>
      </c>
      <c r="R158" s="21" t="str">
        <f t="shared" si="52"/>
        <v/>
      </c>
      <c r="S158" s="21"/>
      <c r="T158" s="21"/>
      <c r="U158" s="21" t="str">
        <f t="shared" si="53"/>
        <v/>
      </c>
      <c r="V158" s="21"/>
      <c r="W158" s="21"/>
      <c r="X158" s="21"/>
      <c r="Y158" s="21"/>
      <c r="Z158" s="21"/>
      <c r="AA158" s="21"/>
      <c r="AB158" s="21"/>
      <c r="AC158" s="21"/>
      <c r="AD158" s="21"/>
      <c r="AE158" s="21"/>
      <c r="AF158" s="21"/>
      <c r="AG158" s="21"/>
      <c r="AH158" s="21" t="str">
        <f t="shared" si="54"/>
        <v/>
      </c>
      <c r="AI158" s="20"/>
      <c r="AJ158" s="21" t="str">
        <f t="shared" si="55"/>
        <v/>
      </c>
      <c r="AK158" s="26"/>
      <c r="AL158" s="21" t="str">
        <f t="shared" si="56"/>
        <v/>
      </c>
      <c r="AM158" s="21" t="str">
        <f t="shared" si="57"/>
        <v/>
      </c>
      <c r="AN158" s="21">
        <f t="shared" si="58"/>
        <v>540000</v>
      </c>
      <c r="AO158" s="21" t="str">
        <f t="shared" si="59"/>
        <v/>
      </c>
      <c r="AP158" s="21" t="str">
        <f t="shared" si="60"/>
        <v/>
      </c>
      <c r="AQ158" s="21" t="str">
        <f t="shared" si="61"/>
        <v/>
      </c>
      <c r="AR158" s="21"/>
      <c r="AS158" s="27"/>
      <c r="AT158" s="19"/>
    </row>
    <row r="159" spans="2:46" ht="30" hidden="1" customHeight="1" x14ac:dyDescent="0.25">
      <c r="B159" s="47" t="s">
        <v>358</v>
      </c>
      <c r="C159" s="48">
        <v>0</v>
      </c>
      <c r="D159" s="48">
        <v>750000</v>
      </c>
      <c r="E159" s="48">
        <v>2998624464</v>
      </c>
      <c r="F159" s="47" t="s">
        <v>359</v>
      </c>
      <c r="K159" s="4" t="s">
        <v>64</v>
      </c>
      <c r="L159" s="26">
        <f t="shared" si="62"/>
        <v>750000</v>
      </c>
      <c r="M159" s="15" t="str">
        <f t="shared" si="63"/>
        <v>Đúng</v>
      </c>
      <c r="N159" s="21" t="str">
        <f t="shared" si="50"/>
        <v/>
      </c>
      <c r="O159" s="21" t="str">
        <f t="shared" si="51"/>
        <v/>
      </c>
      <c r="P159" s="21"/>
      <c r="Q159" s="18">
        <f t="shared" si="64"/>
        <v>750000</v>
      </c>
      <c r="R159" s="21" t="str">
        <f t="shared" si="52"/>
        <v/>
      </c>
      <c r="S159" s="21"/>
      <c r="T159" s="21"/>
      <c r="U159" s="21" t="str">
        <f t="shared" si="53"/>
        <v/>
      </c>
      <c r="V159" s="21"/>
      <c r="W159" s="21"/>
      <c r="X159" s="21"/>
      <c r="Y159" s="21"/>
      <c r="Z159" s="21"/>
      <c r="AA159" s="21"/>
      <c r="AB159" s="21"/>
      <c r="AC159" s="21"/>
      <c r="AD159" s="21"/>
      <c r="AE159" s="21"/>
      <c r="AF159" s="21"/>
      <c r="AG159" s="21"/>
      <c r="AH159" s="21" t="str">
        <f t="shared" si="54"/>
        <v/>
      </c>
      <c r="AI159" s="20"/>
      <c r="AJ159" s="21" t="str">
        <f t="shared" si="55"/>
        <v/>
      </c>
      <c r="AK159" s="26"/>
      <c r="AL159" s="21" t="str">
        <f t="shared" si="56"/>
        <v/>
      </c>
      <c r="AM159" s="21" t="str">
        <f t="shared" si="57"/>
        <v/>
      </c>
      <c r="AN159" s="21">
        <f t="shared" si="58"/>
        <v>750000</v>
      </c>
      <c r="AO159" s="21" t="str">
        <f t="shared" si="59"/>
        <v/>
      </c>
      <c r="AP159" s="21" t="str">
        <f t="shared" si="60"/>
        <v/>
      </c>
      <c r="AQ159" s="21" t="str">
        <f t="shared" si="61"/>
        <v/>
      </c>
      <c r="AR159" s="21"/>
      <c r="AS159" s="27"/>
      <c r="AT159" s="19"/>
    </row>
    <row r="160" spans="2:46" ht="30" hidden="1" customHeight="1" x14ac:dyDescent="0.25">
      <c r="B160" s="47" t="s">
        <v>360</v>
      </c>
      <c r="C160" s="48">
        <v>0</v>
      </c>
      <c r="D160" s="48">
        <v>1080000</v>
      </c>
      <c r="E160" s="48">
        <v>2999704464</v>
      </c>
      <c r="F160" s="47" t="s">
        <v>361</v>
      </c>
      <c r="K160" s="4" t="s">
        <v>64</v>
      </c>
      <c r="L160" s="26">
        <f t="shared" si="62"/>
        <v>1080000</v>
      </c>
      <c r="M160" s="15" t="str">
        <f t="shared" si="63"/>
        <v>Đúng</v>
      </c>
      <c r="N160" s="21" t="str">
        <f t="shared" si="50"/>
        <v/>
      </c>
      <c r="O160" s="21" t="str">
        <f t="shared" si="51"/>
        <v/>
      </c>
      <c r="P160" s="21"/>
      <c r="Q160" s="18">
        <f t="shared" si="64"/>
        <v>1080000</v>
      </c>
      <c r="R160" s="21" t="str">
        <f t="shared" si="52"/>
        <v/>
      </c>
      <c r="S160" s="21"/>
      <c r="T160" s="21"/>
      <c r="U160" s="21" t="str">
        <f t="shared" si="53"/>
        <v/>
      </c>
      <c r="V160" s="21"/>
      <c r="W160" s="21"/>
      <c r="X160" s="21"/>
      <c r="Y160" s="21"/>
      <c r="Z160" s="21"/>
      <c r="AA160" s="21"/>
      <c r="AB160" s="21"/>
      <c r="AC160" s="21"/>
      <c r="AD160" s="21"/>
      <c r="AE160" s="21"/>
      <c r="AF160" s="21"/>
      <c r="AG160" s="21"/>
      <c r="AH160" s="21" t="str">
        <f t="shared" si="54"/>
        <v/>
      </c>
      <c r="AI160" s="20"/>
      <c r="AJ160" s="21" t="str">
        <f t="shared" si="55"/>
        <v/>
      </c>
      <c r="AK160" s="26"/>
      <c r="AL160" s="21" t="str">
        <f t="shared" si="56"/>
        <v/>
      </c>
      <c r="AM160" s="21" t="str">
        <f t="shared" si="57"/>
        <v/>
      </c>
      <c r="AN160" s="21">
        <f t="shared" si="58"/>
        <v>1080000</v>
      </c>
      <c r="AO160" s="21" t="str">
        <f t="shared" si="59"/>
        <v/>
      </c>
      <c r="AP160" s="21" t="str">
        <f t="shared" si="60"/>
        <v/>
      </c>
      <c r="AQ160" s="21" t="str">
        <f t="shared" si="61"/>
        <v/>
      </c>
      <c r="AR160" s="21"/>
      <c r="AS160" s="27"/>
      <c r="AT160" s="19"/>
    </row>
    <row r="161" spans="2:46" ht="30" hidden="1" customHeight="1" x14ac:dyDescent="0.25">
      <c r="B161" s="47" t="s">
        <v>362</v>
      </c>
      <c r="C161" s="48">
        <v>0</v>
      </c>
      <c r="D161" s="48">
        <v>200000</v>
      </c>
      <c r="E161" s="48">
        <v>2999904464</v>
      </c>
      <c r="F161" s="47" t="s">
        <v>363</v>
      </c>
      <c r="K161" s="4" t="s">
        <v>69</v>
      </c>
      <c r="L161" s="26">
        <f t="shared" si="62"/>
        <v>200000</v>
      </c>
      <c r="M161" s="15" t="str">
        <f t="shared" si="63"/>
        <v>Đúng</v>
      </c>
      <c r="N161" s="21" t="str">
        <f t="shared" si="50"/>
        <v/>
      </c>
      <c r="O161" s="21" t="str">
        <f t="shared" si="51"/>
        <v/>
      </c>
      <c r="P161" s="21"/>
      <c r="Q161" s="18">
        <f t="shared" si="64"/>
        <v>200000</v>
      </c>
      <c r="R161" s="21">
        <f t="shared" si="52"/>
        <v>200000</v>
      </c>
      <c r="S161" s="21"/>
      <c r="T161" s="21"/>
      <c r="U161" s="21" t="str">
        <f t="shared" si="53"/>
        <v/>
      </c>
      <c r="V161" s="21"/>
      <c r="W161" s="21"/>
      <c r="X161" s="21"/>
      <c r="Y161" s="21"/>
      <c r="Z161" s="21"/>
      <c r="AA161" s="21"/>
      <c r="AB161" s="21"/>
      <c r="AC161" s="21"/>
      <c r="AD161" s="21"/>
      <c r="AE161" s="21"/>
      <c r="AF161" s="21"/>
      <c r="AG161" s="21"/>
      <c r="AH161" s="21" t="str">
        <f t="shared" si="54"/>
        <v/>
      </c>
      <c r="AI161" s="20"/>
      <c r="AJ161" s="21" t="str">
        <f t="shared" si="55"/>
        <v/>
      </c>
      <c r="AK161" s="26"/>
      <c r="AL161" s="21" t="str">
        <f t="shared" si="56"/>
        <v/>
      </c>
      <c r="AM161" s="21" t="str">
        <f t="shared" si="57"/>
        <v/>
      </c>
      <c r="AN161" s="21" t="str">
        <f t="shared" si="58"/>
        <v/>
      </c>
      <c r="AO161" s="21" t="str">
        <f t="shared" si="59"/>
        <v/>
      </c>
      <c r="AP161" s="21" t="str">
        <f t="shared" si="60"/>
        <v/>
      </c>
      <c r="AQ161" s="21" t="str">
        <f t="shared" si="61"/>
        <v/>
      </c>
      <c r="AR161" s="21"/>
      <c r="AS161" s="27"/>
      <c r="AT161" s="19"/>
    </row>
    <row r="162" spans="2:46" ht="30" hidden="1" customHeight="1" x14ac:dyDescent="0.25">
      <c r="B162" s="47" t="s">
        <v>364</v>
      </c>
      <c r="C162" s="48">
        <v>0</v>
      </c>
      <c r="D162" s="48">
        <v>2610000</v>
      </c>
      <c r="E162" s="48">
        <v>3002514464</v>
      </c>
      <c r="F162" s="47" t="s">
        <v>365</v>
      </c>
      <c r="K162" s="4" t="s">
        <v>64</v>
      </c>
      <c r="L162" s="26">
        <f t="shared" si="62"/>
        <v>2610000</v>
      </c>
      <c r="M162" s="15" t="str">
        <f t="shared" si="63"/>
        <v>Đúng</v>
      </c>
      <c r="N162" s="21" t="str">
        <f t="shared" si="50"/>
        <v/>
      </c>
      <c r="O162" s="21" t="str">
        <f t="shared" si="51"/>
        <v/>
      </c>
      <c r="P162" s="21"/>
      <c r="Q162" s="18">
        <f t="shared" si="64"/>
        <v>2610000</v>
      </c>
      <c r="R162" s="21" t="str">
        <f t="shared" si="52"/>
        <v/>
      </c>
      <c r="S162" s="21"/>
      <c r="T162" s="21"/>
      <c r="U162" s="21" t="str">
        <f t="shared" si="53"/>
        <v/>
      </c>
      <c r="V162" s="21"/>
      <c r="W162" s="21"/>
      <c r="X162" s="21"/>
      <c r="Y162" s="21"/>
      <c r="Z162" s="21"/>
      <c r="AA162" s="21"/>
      <c r="AB162" s="21"/>
      <c r="AC162" s="21"/>
      <c r="AD162" s="21"/>
      <c r="AE162" s="21"/>
      <c r="AF162" s="21"/>
      <c r="AG162" s="21"/>
      <c r="AH162" s="21" t="str">
        <f t="shared" si="54"/>
        <v/>
      </c>
      <c r="AI162" s="20"/>
      <c r="AJ162" s="21" t="str">
        <f t="shared" si="55"/>
        <v/>
      </c>
      <c r="AK162" s="26"/>
      <c r="AL162" s="21" t="str">
        <f t="shared" si="56"/>
        <v/>
      </c>
      <c r="AM162" s="21" t="str">
        <f t="shared" si="57"/>
        <v/>
      </c>
      <c r="AN162" s="21">
        <f t="shared" si="58"/>
        <v>2610000</v>
      </c>
      <c r="AO162" s="21" t="str">
        <f t="shared" si="59"/>
        <v/>
      </c>
      <c r="AP162" s="21" t="str">
        <f t="shared" si="60"/>
        <v/>
      </c>
      <c r="AQ162" s="21" t="str">
        <f t="shared" si="61"/>
        <v/>
      </c>
      <c r="AR162" s="21"/>
      <c r="AS162" s="27"/>
      <c r="AT162" s="19"/>
    </row>
    <row r="163" spans="2:46" ht="30" hidden="1" customHeight="1" x14ac:dyDescent="0.25">
      <c r="B163" s="47" t="s">
        <v>366</v>
      </c>
      <c r="C163" s="48">
        <v>0</v>
      </c>
      <c r="D163" s="48">
        <v>200000</v>
      </c>
      <c r="E163" s="48">
        <v>3002714464</v>
      </c>
      <c r="F163" s="47" t="s">
        <v>367</v>
      </c>
      <c r="K163" s="4" t="s">
        <v>69</v>
      </c>
      <c r="L163" s="26">
        <f t="shared" si="62"/>
        <v>200000</v>
      </c>
      <c r="M163" s="15" t="str">
        <f t="shared" si="63"/>
        <v>Đúng</v>
      </c>
      <c r="N163" s="21" t="str">
        <f t="shared" si="50"/>
        <v/>
      </c>
      <c r="O163" s="21" t="str">
        <f t="shared" si="51"/>
        <v/>
      </c>
      <c r="P163" s="21"/>
      <c r="Q163" s="18">
        <f t="shared" si="64"/>
        <v>200000</v>
      </c>
      <c r="R163" s="21">
        <f t="shared" si="52"/>
        <v>200000</v>
      </c>
      <c r="S163" s="21"/>
      <c r="T163" s="21"/>
      <c r="U163" s="21" t="str">
        <f t="shared" si="53"/>
        <v/>
      </c>
      <c r="V163" s="21"/>
      <c r="W163" s="21"/>
      <c r="X163" s="21"/>
      <c r="Y163" s="21"/>
      <c r="Z163" s="21"/>
      <c r="AA163" s="21"/>
      <c r="AB163" s="21"/>
      <c r="AC163" s="21"/>
      <c r="AD163" s="21"/>
      <c r="AE163" s="21"/>
      <c r="AF163" s="21"/>
      <c r="AG163" s="21"/>
      <c r="AH163" s="21" t="str">
        <f t="shared" si="54"/>
        <v/>
      </c>
      <c r="AI163" s="20"/>
      <c r="AJ163" s="21" t="str">
        <f t="shared" si="55"/>
        <v/>
      </c>
      <c r="AK163" s="26"/>
      <c r="AL163" s="21" t="str">
        <f t="shared" si="56"/>
        <v/>
      </c>
      <c r="AM163" s="21" t="str">
        <f t="shared" si="57"/>
        <v/>
      </c>
      <c r="AN163" s="21" t="str">
        <f t="shared" si="58"/>
        <v/>
      </c>
      <c r="AO163" s="21" t="str">
        <f t="shared" si="59"/>
        <v/>
      </c>
      <c r="AP163" s="21" t="str">
        <f t="shared" si="60"/>
        <v/>
      </c>
      <c r="AQ163" s="21" t="str">
        <f t="shared" si="61"/>
        <v/>
      </c>
      <c r="AR163" s="21"/>
      <c r="AS163" s="27"/>
      <c r="AT163" s="19"/>
    </row>
    <row r="164" spans="2:46" ht="30" hidden="1" customHeight="1" x14ac:dyDescent="0.25">
      <c r="B164" s="47" t="s">
        <v>368</v>
      </c>
      <c r="C164" s="48">
        <v>0</v>
      </c>
      <c r="D164" s="48">
        <v>200000</v>
      </c>
      <c r="E164" s="48">
        <v>3002914464</v>
      </c>
      <c r="F164" s="47" t="s">
        <v>369</v>
      </c>
      <c r="K164" s="4" t="s">
        <v>69</v>
      </c>
      <c r="L164" s="26">
        <f t="shared" si="62"/>
        <v>200000</v>
      </c>
      <c r="M164" s="15" t="str">
        <f t="shared" si="63"/>
        <v>Đúng</v>
      </c>
      <c r="N164" s="21" t="str">
        <f t="shared" si="50"/>
        <v/>
      </c>
      <c r="O164" s="21" t="str">
        <f t="shared" si="51"/>
        <v/>
      </c>
      <c r="P164" s="21"/>
      <c r="Q164" s="18">
        <f t="shared" si="64"/>
        <v>200000</v>
      </c>
      <c r="R164" s="21">
        <f t="shared" si="52"/>
        <v>200000</v>
      </c>
      <c r="S164" s="21"/>
      <c r="T164" s="21"/>
      <c r="U164" s="21" t="str">
        <f t="shared" si="53"/>
        <v/>
      </c>
      <c r="V164" s="21"/>
      <c r="W164" s="21"/>
      <c r="X164" s="21"/>
      <c r="Y164" s="21"/>
      <c r="Z164" s="21"/>
      <c r="AA164" s="21"/>
      <c r="AB164" s="21"/>
      <c r="AC164" s="21"/>
      <c r="AD164" s="21"/>
      <c r="AE164" s="21"/>
      <c r="AF164" s="21"/>
      <c r="AG164" s="21"/>
      <c r="AH164" s="21" t="str">
        <f t="shared" si="54"/>
        <v/>
      </c>
      <c r="AI164" s="20"/>
      <c r="AJ164" s="21" t="str">
        <f t="shared" si="55"/>
        <v/>
      </c>
      <c r="AK164" s="26"/>
      <c r="AL164" s="21" t="str">
        <f t="shared" si="56"/>
        <v/>
      </c>
      <c r="AM164" s="21" t="str">
        <f t="shared" si="57"/>
        <v/>
      </c>
      <c r="AN164" s="21" t="str">
        <f t="shared" si="58"/>
        <v/>
      </c>
      <c r="AO164" s="21" t="str">
        <f t="shared" si="59"/>
        <v/>
      </c>
      <c r="AP164" s="21" t="str">
        <f t="shared" si="60"/>
        <v/>
      </c>
      <c r="AQ164" s="21" t="str">
        <f t="shared" si="61"/>
        <v/>
      </c>
      <c r="AR164" s="21"/>
      <c r="AS164" s="27"/>
      <c r="AT164" s="19"/>
    </row>
    <row r="165" spans="2:46" ht="30" hidden="1" customHeight="1" x14ac:dyDescent="0.25">
      <c r="B165" s="47" t="s">
        <v>370</v>
      </c>
      <c r="C165" s="48">
        <v>0</v>
      </c>
      <c r="D165" s="48">
        <v>2880000</v>
      </c>
      <c r="E165" s="48">
        <v>3005794464</v>
      </c>
      <c r="F165" s="47" t="s">
        <v>371</v>
      </c>
      <c r="K165" s="4" t="s">
        <v>64</v>
      </c>
      <c r="L165" s="26">
        <f t="shared" si="62"/>
        <v>2880000</v>
      </c>
      <c r="M165" s="15" t="str">
        <f t="shared" si="63"/>
        <v>Đúng</v>
      </c>
      <c r="N165" s="21" t="str">
        <f t="shared" si="50"/>
        <v/>
      </c>
      <c r="O165" s="21" t="str">
        <f t="shared" si="51"/>
        <v/>
      </c>
      <c r="P165" s="21"/>
      <c r="Q165" s="18">
        <f t="shared" si="64"/>
        <v>2880000</v>
      </c>
      <c r="R165" s="21" t="str">
        <f t="shared" si="52"/>
        <v/>
      </c>
      <c r="S165" s="21"/>
      <c r="T165" s="21"/>
      <c r="U165" s="21" t="str">
        <f t="shared" si="53"/>
        <v/>
      </c>
      <c r="V165" s="21"/>
      <c r="W165" s="21"/>
      <c r="X165" s="21"/>
      <c r="Y165" s="21"/>
      <c r="Z165" s="21"/>
      <c r="AA165" s="21"/>
      <c r="AB165" s="21"/>
      <c r="AC165" s="21"/>
      <c r="AD165" s="21"/>
      <c r="AE165" s="21"/>
      <c r="AF165" s="21"/>
      <c r="AG165" s="21"/>
      <c r="AH165" s="21" t="str">
        <f t="shared" si="54"/>
        <v/>
      </c>
      <c r="AI165" s="20"/>
      <c r="AJ165" s="21" t="str">
        <f t="shared" si="55"/>
        <v/>
      </c>
      <c r="AK165" s="26"/>
      <c r="AL165" s="21" t="str">
        <f t="shared" si="56"/>
        <v/>
      </c>
      <c r="AM165" s="21" t="str">
        <f t="shared" si="57"/>
        <v/>
      </c>
      <c r="AN165" s="21">
        <f t="shared" si="58"/>
        <v>2880000</v>
      </c>
      <c r="AO165" s="21" t="str">
        <f t="shared" si="59"/>
        <v/>
      </c>
      <c r="AP165" s="21" t="str">
        <f t="shared" si="60"/>
        <v/>
      </c>
      <c r="AQ165" s="21" t="str">
        <f t="shared" si="61"/>
        <v/>
      </c>
      <c r="AR165" s="21"/>
      <c r="AS165" s="27"/>
      <c r="AT165" s="19"/>
    </row>
    <row r="166" spans="2:46" ht="30" hidden="1" customHeight="1" x14ac:dyDescent="0.25">
      <c r="B166" s="47" t="s">
        <v>372</v>
      </c>
      <c r="C166" s="48">
        <v>0</v>
      </c>
      <c r="D166" s="48">
        <v>200000</v>
      </c>
      <c r="E166" s="48">
        <v>3005994464</v>
      </c>
      <c r="F166" s="47" t="s">
        <v>373</v>
      </c>
      <c r="K166" s="4" t="s">
        <v>69</v>
      </c>
      <c r="L166" s="26">
        <f t="shared" si="62"/>
        <v>200000</v>
      </c>
      <c r="M166" s="15" t="str">
        <f t="shared" si="63"/>
        <v>Đúng</v>
      </c>
      <c r="N166" s="21" t="str">
        <f t="shared" si="50"/>
        <v/>
      </c>
      <c r="O166" s="21" t="str">
        <f t="shared" si="51"/>
        <v/>
      </c>
      <c r="P166" s="21"/>
      <c r="Q166" s="18">
        <f t="shared" si="64"/>
        <v>200000</v>
      </c>
      <c r="R166" s="21">
        <f t="shared" si="52"/>
        <v>200000</v>
      </c>
      <c r="S166" s="21"/>
      <c r="T166" s="21"/>
      <c r="U166" s="21" t="str">
        <f t="shared" si="53"/>
        <v/>
      </c>
      <c r="V166" s="21"/>
      <c r="W166" s="21"/>
      <c r="X166" s="21"/>
      <c r="Y166" s="21"/>
      <c r="Z166" s="21"/>
      <c r="AA166" s="21"/>
      <c r="AB166" s="21"/>
      <c r="AC166" s="21"/>
      <c r="AD166" s="21"/>
      <c r="AE166" s="21"/>
      <c r="AF166" s="21"/>
      <c r="AG166" s="21"/>
      <c r="AH166" s="21" t="str">
        <f t="shared" si="54"/>
        <v/>
      </c>
      <c r="AI166" s="20"/>
      <c r="AJ166" s="21" t="str">
        <f t="shared" si="55"/>
        <v/>
      </c>
      <c r="AK166" s="26"/>
      <c r="AL166" s="21" t="str">
        <f t="shared" si="56"/>
        <v/>
      </c>
      <c r="AM166" s="21" t="str">
        <f t="shared" si="57"/>
        <v/>
      </c>
      <c r="AN166" s="21" t="str">
        <f t="shared" si="58"/>
        <v/>
      </c>
      <c r="AO166" s="21" t="str">
        <f t="shared" si="59"/>
        <v/>
      </c>
      <c r="AP166" s="21" t="str">
        <f t="shared" si="60"/>
        <v/>
      </c>
      <c r="AQ166" s="21" t="str">
        <f t="shared" si="61"/>
        <v/>
      </c>
      <c r="AR166" s="21"/>
      <c r="AS166" s="27"/>
      <c r="AT166" s="19"/>
    </row>
    <row r="167" spans="2:46" ht="30" hidden="1" customHeight="1" x14ac:dyDescent="0.25">
      <c r="B167" s="47" t="s">
        <v>374</v>
      </c>
      <c r="C167" s="48">
        <v>0</v>
      </c>
      <c r="D167" s="48">
        <v>50000</v>
      </c>
      <c r="E167" s="48">
        <v>3006044464</v>
      </c>
      <c r="F167" s="47" t="s">
        <v>375</v>
      </c>
      <c r="K167" s="4" t="s">
        <v>64</v>
      </c>
      <c r="L167" s="26">
        <f t="shared" si="62"/>
        <v>50000</v>
      </c>
      <c r="M167" s="15" t="str">
        <f t="shared" si="63"/>
        <v>Đúng</v>
      </c>
      <c r="N167" s="21" t="str">
        <f t="shared" si="50"/>
        <v/>
      </c>
      <c r="O167" s="21" t="str">
        <f t="shared" si="51"/>
        <v/>
      </c>
      <c r="P167" s="21"/>
      <c r="Q167" s="18">
        <f t="shared" si="64"/>
        <v>50000</v>
      </c>
      <c r="R167" s="21" t="str">
        <f t="shared" si="52"/>
        <v/>
      </c>
      <c r="S167" s="21"/>
      <c r="T167" s="21"/>
      <c r="U167" s="21" t="str">
        <f t="shared" si="53"/>
        <v/>
      </c>
      <c r="V167" s="21"/>
      <c r="W167" s="21"/>
      <c r="X167" s="21"/>
      <c r="Y167" s="21"/>
      <c r="Z167" s="21"/>
      <c r="AA167" s="21"/>
      <c r="AB167" s="21"/>
      <c r="AC167" s="21"/>
      <c r="AD167" s="21"/>
      <c r="AE167" s="21"/>
      <c r="AF167" s="21"/>
      <c r="AG167" s="21"/>
      <c r="AH167" s="21" t="str">
        <f t="shared" si="54"/>
        <v/>
      </c>
      <c r="AI167" s="20"/>
      <c r="AJ167" s="21" t="str">
        <f t="shared" si="55"/>
        <v/>
      </c>
      <c r="AK167" s="26"/>
      <c r="AL167" s="21" t="str">
        <f t="shared" si="56"/>
        <v/>
      </c>
      <c r="AM167" s="21" t="str">
        <f t="shared" si="57"/>
        <v/>
      </c>
      <c r="AN167" s="21">
        <f t="shared" si="58"/>
        <v>50000</v>
      </c>
      <c r="AO167" s="21" t="str">
        <f t="shared" si="59"/>
        <v/>
      </c>
      <c r="AP167" s="21" t="str">
        <f t="shared" si="60"/>
        <v/>
      </c>
      <c r="AQ167" s="21" t="str">
        <f t="shared" si="61"/>
        <v/>
      </c>
      <c r="AR167" s="21"/>
      <c r="AS167" s="27"/>
      <c r="AT167" s="19"/>
    </row>
    <row r="168" spans="2:46" ht="30" hidden="1" customHeight="1" x14ac:dyDescent="0.25">
      <c r="B168" s="47" t="s">
        <v>376</v>
      </c>
      <c r="C168" s="48">
        <v>0</v>
      </c>
      <c r="D168" s="48">
        <v>900000</v>
      </c>
      <c r="E168" s="48">
        <v>3006944464</v>
      </c>
      <c r="F168" s="47" t="s">
        <v>377</v>
      </c>
      <c r="K168" s="4" t="s">
        <v>64</v>
      </c>
      <c r="L168" s="26">
        <f t="shared" si="62"/>
        <v>900000</v>
      </c>
      <c r="M168" s="15" t="str">
        <f t="shared" si="63"/>
        <v>Đúng</v>
      </c>
      <c r="N168" s="21" t="str">
        <f t="shared" si="50"/>
        <v/>
      </c>
      <c r="O168" s="21" t="str">
        <f t="shared" si="51"/>
        <v/>
      </c>
      <c r="P168" s="21"/>
      <c r="Q168" s="18">
        <f t="shared" si="64"/>
        <v>900000</v>
      </c>
      <c r="R168" s="21" t="str">
        <f t="shared" si="52"/>
        <v/>
      </c>
      <c r="S168" s="21"/>
      <c r="T168" s="21"/>
      <c r="U168" s="21" t="str">
        <f t="shared" si="53"/>
        <v/>
      </c>
      <c r="V168" s="21"/>
      <c r="W168" s="21"/>
      <c r="X168" s="21"/>
      <c r="Y168" s="21"/>
      <c r="Z168" s="21"/>
      <c r="AA168" s="21"/>
      <c r="AB168" s="21"/>
      <c r="AC168" s="21"/>
      <c r="AD168" s="21"/>
      <c r="AE168" s="21"/>
      <c r="AF168" s="21"/>
      <c r="AG168" s="21"/>
      <c r="AH168" s="21" t="str">
        <f t="shared" si="54"/>
        <v/>
      </c>
      <c r="AI168" s="20"/>
      <c r="AJ168" s="21" t="str">
        <f t="shared" si="55"/>
        <v/>
      </c>
      <c r="AK168" s="26"/>
      <c r="AL168" s="21" t="str">
        <f t="shared" si="56"/>
        <v/>
      </c>
      <c r="AM168" s="21" t="str">
        <f t="shared" si="57"/>
        <v/>
      </c>
      <c r="AN168" s="21">
        <f t="shared" si="58"/>
        <v>900000</v>
      </c>
      <c r="AO168" s="21" t="str">
        <f t="shared" si="59"/>
        <v/>
      </c>
      <c r="AP168" s="21" t="str">
        <f t="shared" si="60"/>
        <v/>
      </c>
      <c r="AQ168" s="21" t="str">
        <f t="shared" si="61"/>
        <v/>
      </c>
      <c r="AR168" s="21"/>
      <c r="AS168" s="27"/>
      <c r="AT168" s="19"/>
    </row>
    <row r="169" spans="2:46" ht="30" customHeight="1" x14ac:dyDescent="0.25">
      <c r="B169" s="47" t="s">
        <v>378</v>
      </c>
      <c r="C169" s="48">
        <v>0</v>
      </c>
      <c r="D169" s="48">
        <v>9250000</v>
      </c>
      <c r="E169" s="48">
        <v>3016194464</v>
      </c>
      <c r="F169" s="47" t="s">
        <v>379</v>
      </c>
      <c r="K169" s="4" t="s">
        <v>67</v>
      </c>
      <c r="L169" s="26">
        <f t="shared" si="62"/>
        <v>9250000</v>
      </c>
      <c r="M169" s="15" t="str">
        <f t="shared" si="63"/>
        <v>Đúng</v>
      </c>
      <c r="N169" s="21">
        <f t="shared" si="50"/>
        <v>9250000</v>
      </c>
      <c r="O169" s="21" t="str">
        <f t="shared" si="51"/>
        <v/>
      </c>
      <c r="P169" s="21"/>
      <c r="Q169" s="18">
        <f t="shared" si="64"/>
        <v>9250000</v>
      </c>
      <c r="R169" s="21" t="str">
        <f t="shared" si="52"/>
        <v/>
      </c>
      <c r="S169" s="21"/>
      <c r="T169" s="21"/>
      <c r="U169" s="21" t="str">
        <f t="shared" si="53"/>
        <v/>
      </c>
      <c r="V169" s="21"/>
      <c r="W169" s="21"/>
      <c r="X169" s="21"/>
      <c r="Y169" s="21"/>
      <c r="Z169" s="21"/>
      <c r="AA169" s="21"/>
      <c r="AB169" s="21"/>
      <c r="AC169" s="21"/>
      <c r="AD169" s="21"/>
      <c r="AE169" s="21"/>
      <c r="AF169" s="21"/>
      <c r="AG169" s="21"/>
      <c r="AH169" s="21" t="str">
        <f t="shared" si="54"/>
        <v/>
      </c>
      <c r="AI169" s="20"/>
      <c r="AJ169" s="21" t="str">
        <f t="shared" si="55"/>
        <v/>
      </c>
      <c r="AK169" s="26"/>
      <c r="AL169" s="21" t="str">
        <f t="shared" si="56"/>
        <v/>
      </c>
      <c r="AM169" s="21" t="str">
        <f t="shared" si="57"/>
        <v/>
      </c>
      <c r="AN169" s="21" t="str">
        <f t="shared" si="58"/>
        <v/>
      </c>
      <c r="AO169" s="21" t="str">
        <f t="shared" si="59"/>
        <v/>
      </c>
      <c r="AP169" s="21" t="str">
        <f t="shared" si="60"/>
        <v/>
      </c>
      <c r="AQ169" s="21" t="str">
        <f t="shared" si="61"/>
        <v/>
      </c>
      <c r="AR169" s="21"/>
      <c r="AS169" s="27"/>
      <c r="AT169" s="19"/>
    </row>
    <row r="170" spans="2:46" ht="30" customHeight="1" x14ac:dyDescent="0.25">
      <c r="B170" s="47" t="s">
        <v>380</v>
      </c>
      <c r="C170" s="48">
        <v>0</v>
      </c>
      <c r="D170" s="48">
        <v>3000000</v>
      </c>
      <c r="E170" s="48">
        <v>3019194464</v>
      </c>
      <c r="F170" s="47" t="s">
        <v>381</v>
      </c>
      <c r="K170" s="4" t="s">
        <v>67</v>
      </c>
      <c r="L170" s="26">
        <f t="shared" si="62"/>
        <v>3000000</v>
      </c>
      <c r="M170" s="15" t="str">
        <f t="shared" si="63"/>
        <v>Đúng</v>
      </c>
      <c r="N170" s="21">
        <f t="shared" si="50"/>
        <v>3000000</v>
      </c>
      <c r="O170" s="21" t="str">
        <f t="shared" si="51"/>
        <v/>
      </c>
      <c r="P170" s="21"/>
      <c r="Q170" s="18">
        <f t="shared" si="64"/>
        <v>3000000</v>
      </c>
      <c r="R170" s="21" t="str">
        <f t="shared" si="52"/>
        <v/>
      </c>
      <c r="S170" s="21"/>
      <c r="T170" s="21"/>
      <c r="U170" s="21" t="str">
        <f t="shared" si="53"/>
        <v/>
      </c>
      <c r="V170" s="21"/>
      <c r="W170" s="21"/>
      <c r="X170" s="21"/>
      <c r="Y170" s="21"/>
      <c r="Z170" s="21"/>
      <c r="AA170" s="21"/>
      <c r="AB170" s="21"/>
      <c r="AC170" s="21"/>
      <c r="AD170" s="21"/>
      <c r="AE170" s="21"/>
      <c r="AF170" s="21"/>
      <c r="AG170" s="21"/>
      <c r="AH170" s="21" t="str">
        <f t="shared" si="54"/>
        <v/>
      </c>
      <c r="AI170" s="20"/>
      <c r="AJ170" s="21" t="str">
        <f t="shared" si="55"/>
        <v/>
      </c>
      <c r="AK170" s="26"/>
      <c r="AL170" s="21" t="str">
        <f t="shared" si="56"/>
        <v/>
      </c>
      <c r="AM170" s="21" t="str">
        <f t="shared" si="57"/>
        <v/>
      </c>
      <c r="AN170" s="21" t="str">
        <f t="shared" si="58"/>
        <v/>
      </c>
      <c r="AO170" s="21" t="str">
        <f t="shared" si="59"/>
        <v/>
      </c>
      <c r="AP170" s="21" t="str">
        <f t="shared" si="60"/>
        <v/>
      </c>
      <c r="AQ170" s="21" t="str">
        <f t="shared" si="61"/>
        <v/>
      </c>
      <c r="AR170" s="21"/>
      <c r="AS170" s="27"/>
      <c r="AT170" s="19"/>
    </row>
    <row r="171" spans="2:46" ht="30" hidden="1" customHeight="1" x14ac:dyDescent="0.25">
      <c r="B171" s="47" t="s">
        <v>382</v>
      </c>
      <c r="C171" s="48">
        <v>0</v>
      </c>
      <c r="D171" s="48">
        <v>200000</v>
      </c>
      <c r="E171" s="48">
        <v>3019394464</v>
      </c>
      <c r="F171" s="47" t="s">
        <v>383</v>
      </c>
      <c r="K171" s="4" t="s">
        <v>69</v>
      </c>
      <c r="L171" s="26">
        <f t="shared" si="62"/>
        <v>200000</v>
      </c>
      <c r="M171" s="15" t="str">
        <f t="shared" si="63"/>
        <v>Đúng</v>
      </c>
      <c r="N171" s="21" t="str">
        <f t="shared" si="50"/>
        <v/>
      </c>
      <c r="O171" s="21" t="str">
        <f t="shared" si="51"/>
        <v/>
      </c>
      <c r="P171" s="21"/>
      <c r="Q171" s="18">
        <f t="shared" si="64"/>
        <v>200000</v>
      </c>
      <c r="R171" s="21">
        <f t="shared" si="52"/>
        <v>200000</v>
      </c>
      <c r="S171" s="21"/>
      <c r="T171" s="21"/>
      <c r="U171" s="21" t="str">
        <f t="shared" si="53"/>
        <v/>
      </c>
      <c r="V171" s="21"/>
      <c r="W171" s="21"/>
      <c r="X171" s="21"/>
      <c r="Y171" s="21"/>
      <c r="Z171" s="21"/>
      <c r="AA171" s="21"/>
      <c r="AB171" s="21"/>
      <c r="AC171" s="21"/>
      <c r="AD171" s="21"/>
      <c r="AE171" s="21"/>
      <c r="AF171" s="21"/>
      <c r="AG171" s="21"/>
      <c r="AH171" s="21" t="str">
        <f t="shared" si="54"/>
        <v/>
      </c>
      <c r="AI171" s="20"/>
      <c r="AJ171" s="21" t="str">
        <f t="shared" si="55"/>
        <v/>
      </c>
      <c r="AK171" s="26"/>
      <c r="AL171" s="21" t="str">
        <f t="shared" si="56"/>
        <v/>
      </c>
      <c r="AM171" s="21" t="str">
        <f t="shared" si="57"/>
        <v/>
      </c>
      <c r="AN171" s="21" t="str">
        <f t="shared" si="58"/>
        <v/>
      </c>
      <c r="AO171" s="21" t="str">
        <f t="shared" si="59"/>
        <v/>
      </c>
      <c r="AP171" s="21" t="str">
        <f t="shared" si="60"/>
        <v/>
      </c>
      <c r="AQ171" s="21" t="str">
        <f t="shared" si="61"/>
        <v/>
      </c>
      <c r="AR171" s="21"/>
      <c r="AS171" s="27"/>
      <c r="AT171" s="19"/>
    </row>
    <row r="172" spans="2:46" ht="30" hidden="1" customHeight="1" x14ac:dyDescent="0.25">
      <c r="B172" s="47" t="s">
        <v>384</v>
      </c>
      <c r="C172" s="48">
        <v>0</v>
      </c>
      <c r="D172" s="48">
        <v>200000</v>
      </c>
      <c r="E172" s="48">
        <v>3019594464</v>
      </c>
      <c r="F172" s="47" t="s">
        <v>385</v>
      </c>
      <c r="K172" s="4" t="s">
        <v>69</v>
      </c>
      <c r="L172" s="26">
        <f t="shared" si="62"/>
        <v>200000</v>
      </c>
      <c r="M172" s="15" t="str">
        <f t="shared" si="63"/>
        <v>Đúng</v>
      </c>
      <c r="N172" s="21" t="str">
        <f t="shared" ref="N172:N217" si="65">IF(ISNUMBER(SEARCH("K49",$K172)),$L172,"")</f>
        <v/>
      </c>
      <c r="O172" s="21" t="str">
        <f t="shared" ref="O172:O217" si="66">IF(ISNUMBER(SEARCH("LDLK",$K172)),$L172,"")</f>
        <v/>
      </c>
      <c r="P172" s="21"/>
      <c r="Q172" s="18">
        <f t="shared" si="64"/>
        <v>200000</v>
      </c>
      <c r="R172" s="21">
        <f t="shared" ref="R172:R217" si="67">IF(ISNUMBER(SEARCH("LPXT",$K172)),$L172,"")</f>
        <v>200000</v>
      </c>
      <c r="S172" s="21"/>
      <c r="T172" s="21"/>
      <c r="U172" s="21" t="str">
        <f t="shared" ref="U172:U217" si="68">IF(ISNUMBER(SEARCH("BHYT",$K172)),$L172,"")</f>
        <v/>
      </c>
      <c r="V172" s="21"/>
      <c r="W172" s="21"/>
      <c r="X172" s="21"/>
      <c r="Y172" s="21"/>
      <c r="Z172" s="21"/>
      <c r="AA172" s="21"/>
      <c r="AB172" s="21"/>
      <c r="AC172" s="21"/>
      <c r="AD172" s="21"/>
      <c r="AE172" s="21"/>
      <c r="AF172" s="21"/>
      <c r="AG172" s="21"/>
      <c r="AH172" s="21" t="str">
        <f t="shared" ref="AH172:AH217" si="69">IF(OR(ISNUMBER(SEARCH("Chuyển nhầm",$K172)),ISNUMBER(SEARCH("NH trả về",$K172))),$L172,"")</f>
        <v/>
      </c>
      <c r="AI172" s="20"/>
      <c r="AJ172" s="21" t="str">
        <f t="shared" ref="AJ172:AJ217" si="70">IF(ISNUMBER(SEARCH("Đặt Cọc",$K172)),$L172,"")</f>
        <v/>
      </c>
      <c r="AK172" s="26"/>
      <c r="AL172" s="21" t="str">
        <f t="shared" ref="AL172:AL217" si="71">IF(OR(ISNUMBER(SEARCH("NVSP",$K172)),ISNUMBER(SEARCH("Ngắn hạn",$K172))),$L172,"")</f>
        <v/>
      </c>
      <c r="AM172" s="21" t="str">
        <f t="shared" ref="AM172:AM217" si="72">IF(ISNUMBER(SEARCH("Doanh Nghiệp TT",$K172)),$L172,"")</f>
        <v/>
      </c>
      <c r="AN172" s="21" t="str">
        <f t="shared" ref="AN172:AN217" si="73">IF(ISNUMBER(SEARCH("Học lại",$K172)),$L172,"")</f>
        <v/>
      </c>
      <c r="AO172" s="21" t="str">
        <f t="shared" ref="AO172:AO217" si="74">IF(ISNUMBER(SEARCH("Lãi tiền gửi",$K172)),$L172,"")</f>
        <v/>
      </c>
      <c r="AP172" s="21" t="str">
        <f t="shared" ref="AP172:AP217" si="75">IF(ISNUMBER(SEARCH("Lãi HĐ",$K172)),$L172,"")</f>
        <v/>
      </c>
      <c r="AQ172" s="21" t="str">
        <f t="shared" ref="AQ172:AQ217" si="76">IF(ISNUMBER(SEARCH("Cô Thương",$K172)),$L172,"")</f>
        <v/>
      </c>
      <c r="AR172" s="21"/>
      <c r="AS172" s="27"/>
      <c r="AT172" s="19"/>
    </row>
    <row r="173" spans="2:46" ht="30" hidden="1" customHeight="1" x14ac:dyDescent="0.25">
      <c r="B173" s="47" t="s">
        <v>386</v>
      </c>
      <c r="C173" s="48">
        <v>0</v>
      </c>
      <c r="D173" s="48">
        <v>50000</v>
      </c>
      <c r="E173" s="48">
        <v>3019644464</v>
      </c>
      <c r="F173" s="47" t="s">
        <v>387</v>
      </c>
      <c r="K173" s="4" t="s">
        <v>64</v>
      </c>
      <c r="L173" s="26">
        <f t="shared" si="62"/>
        <v>50000</v>
      </c>
      <c r="M173" s="15" t="str">
        <f t="shared" si="63"/>
        <v>Đúng</v>
      </c>
      <c r="N173" s="21" t="str">
        <f t="shared" si="65"/>
        <v/>
      </c>
      <c r="O173" s="21" t="str">
        <f t="shared" si="66"/>
        <v/>
      </c>
      <c r="P173" s="21"/>
      <c r="Q173" s="18">
        <f t="shared" si="64"/>
        <v>50000</v>
      </c>
      <c r="R173" s="21" t="str">
        <f t="shared" si="67"/>
        <v/>
      </c>
      <c r="S173" s="21"/>
      <c r="T173" s="21"/>
      <c r="U173" s="21" t="str">
        <f t="shared" si="68"/>
        <v/>
      </c>
      <c r="V173" s="21"/>
      <c r="W173" s="21"/>
      <c r="X173" s="21"/>
      <c r="Y173" s="21"/>
      <c r="Z173" s="21"/>
      <c r="AA173" s="21"/>
      <c r="AB173" s="21"/>
      <c r="AC173" s="21"/>
      <c r="AD173" s="21"/>
      <c r="AE173" s="21"/>
      <c r="AF173" s="21"/>
      <c r="AG173" s="21"/>
      <c r="AH173" s="21" t="str">
        <f t="shared" si="69"/>
        <v/>
      </c>
      <c r="AI173" s="20"/>
      <c r="AJ173" s="21" t="str">
        <f t="shared" si="70"/>
        <v/>
      </c>
      <c r="AK173" s="26"/>
      <c r="AL173" s="21" t="str">
        <f t="shared" si="71"/>
        <v/>
      </c>
      <c r="AM173" s="21" t="str">
        <f t="shared" si="72"/>
        <v/>
      </c>
      <c r="AN173" s="21">
        <f t="shared" si="73"/>
        <v>50000</v>
      </c>
      <c r="AO173" s="21" t="str">
        <f t="shared" si="74"/>
        <v/>
      </c>
      <c r="AP173" s="21" t="str">
        <f t="shared" si="75"/>
        <v/>
      </c>
      <c r="AQ173" s="21" t="str">
        <f t="shared" si="76"/>
        <v/>
      </c>
      <c r="AR173" s="21"/>
      <c r="AS173" s="27"/>
      <c r="AT173" s="19"/>
    </row>
    <row r="174" spans="2:46" ht="30" hidden="1" customHeight="1" x14ac:dyDescent="0.25">
      <c r="B174" s="47" t="s">
        <v>388</v>
      </c>
      <c r="C174" s="48">
        <v>0</v>
      </c>
      <c r="D174" s="48">
        <v>50000</v>
      </c>
      <c r="E174" s="48">
        <v>3019694464</v>
      </c>
      <c r="F174" s="47" t="s">
        <v>389</v>
      </c>
      <c r="K174" s="4" t="s">
        <v>64</v>
      </c>
      <c r="L174" s="26">
        <f t="shared" si="62"/>
        <v>50000</v>
      </c>
      <c r="M174" s="15" t="str">
        <f t="shared" si="63"/>
        <v>Đúng</v>
      </c>
      <c r="N174" s="21" t="str">
        <f t="shared" si="65"/>
        <v/>
      </c>
      <c r="O174" s="21" t="str">
        <f t="shared" si="66"/>
        <v/>
      </c>
      <c r="P174" s="21"/>
      <c r="Q174" s="18">
        <f t="shared" si="64"/>
        <v>50000</v>
      </c>
      <c r="R174" s="21" t="str">
        <f t="shared" si="67"/>
        <v/>
      </c>
      <c r="S174" s="21"/>
      <c r="T174" s="21"/>
      <c r="U174" s="21" t="str">
        <f t="shared" si="68"/>
        <v/>
      </c>
      <c r="V174" s="21"/>
      <c r="W174" s="21"/>
      <c r="X174" s="21"/>
      <c r="Y174" s="21"/>
      <c r="Z174" s="21"/>
      <c r="AA174" s="21"/>
      <c r="AB174" s="21"/>
      <c r="AC174" s="21"/>
      <c r="AD174" s="21"/>
      <c r="AE174" s="21"/>
      <c r="AF174" s="21"/>
      <c r="AG174" s="21"/>
      <c r="AH174" s="21" t="str">
        <f t="shared" si="69"/>
        <v/>
      </c>
      <c r="AI174" s="20"/>
      <c r="AJ174" s="21" t="str">
        <f t="shared" si="70"/>
        <v/>
      </c>
      <c r="AK174" s="26"/>
      <c r="AL174" s="21" t="str">
        <f t="shared" si="71"/>
        <v/>
      </c>
      <c r="AM174" s="21" t="str">
        <f t="shared" si="72"/>
        <v/>
      </c>
      <c r="AN174" s="21">
        <f t="shared" si="73"/>
        <v>50000</v>
      </c>
      <c r="AO174" s="21" t="str">
        <f t="shared" si="74"/>
        <v/>
      </c>
      <c r="AP174" s="21" t="str">
        <f t="shared" si="75"/>
        <v/>
      </c>
      <c r="AQ174" s="21" t="str">
        <f t="shared" si="76"/>
        <v/>
      </c>
      <c r="AR174" s="21"/>
      <c r="AS174" s="27"/>
      <c r="AT174" s="19"/>
    </row>
    <row r="175" spans="2:46" ht="30" customHeight="1" x14ac:dyDescent="0.25">
      <c r="B175" s="47" t="s">
        <v>390</v>
      </c>
      <c r="C175" s="48">
        <v>0</v>
      </c>
      <c r="D175" s="48">
        <v>3024000</v>
      </c>
      <c r="E175" s="48">
        <v>3022718464</v>
      </c>
      <c r="F175" s="47" t="s">
        <v>391</v>
      </c>
      <c r="K175" s="4" t="s">
        <v>67</v>
      </c>
      <c r="L175" s="26">
        <f t="shared" si="62"/>
        <v>3024000</v>
      </c>
      <c r="M175" s="15" t="str">
        <f t="shared" si="63"/>
        <v>Đúng</v>
      </c>
      <c r="N175" s="21">
        <f t="shared" si="65"/>
        <v>3024000</v>
      </c>
      <c r="O175" s="21" t="str">
        <f t="shared" si="66"/>
        <v/>
      </c>
      <c r="P175" s="21"/>
      <c r="Q175" s="18">
        <f t="shared" si="64"/>
        <v>3024000</v>
      </c>
      <c r="R175" s="21" t="str">
        <f t="shared" si="67"/>
        <v/>
      </c>
      <c r="S175" s="21"/>
      <c r="T175" s="21"/>
      <c r="U175" s="21" t="str">
        <f t="shared" si="68"/>
        <v/>
      </c>
      <c r="V175" s="21"/>
      <c r="W175" s="21"/>
      <c r="X175" s="21"/>
      <c r="Y175" s="21"/>
      <c r="Z175" s="21"/>
      <c r="AA175" s="21"/>
      <c r="AB175" s="21"/>
      <c r="AC175" s="21"/>
      <c r="AD175" s="21"/>
      <c r="AE175" s="21"/>
      <c r="AF175" s="21"/>
      <c r="AG175" s="21"/>
      <c r="AH175" s="21" t="str">
        <f t="shared" si="69"/>
        <v/>
      </c>
      <c r="AI175" s="20"/>
      <c r="AJ175" s="21" t="str">
        <f t="shared" si="70"/>
        <v/>
      </c>
      <c r="AK175" s="26"/>
      <c r="AL175" s="21" t="str">
        <f t="shared" si="71"/>
        <v/>
      </c>
      <c r="AM175" s="21" t="str">
        <f t="shared" si="72"/>
        <v/>
      </c>
      <c r="AN175" s="21" t="str">
        <f t="shared" si="73"/>
        <v/>
      </c>
      <c r="AO175" s="21" t="str">
        <f t="shared" si="74"/>
        <v/>
      </c>
      <c r="AP175" s="21" t="str">
        <f t="shared" si="75"/>
        <v/>
      </c>
      <c r="AQ175" s="21" t="str">
        <f t="shared" si="76"/>
        <v/>
      </c>
      <c r="AR175" s="21"/>
      <c r="AS175" s="27"/>
      <c r="AT175" s="19"/>
    </row>
    <row r="176" spans="2:46" ht="30" customHeight="1" x14ac:dyDescent="0.25">
      <c r="B176" s="47" t="s">
        <v>392</v>
      </c>
      <c r="C176" s="48">
        <v>0</v>
      </c>
      <c r="D176" s="48">
        <v>3024000</v>
      </c>
      <c r="E176" s="48">
        <v>3025742464</v>
      </c>
      <c r="F176" s="47" t="s">
        <v>393</v>
      </c>
      <c r="K176" s="4" t="s">
        <v>67</v>
      </c>
      <c r="L176" s="26">
        <f t="shared" si="62"/>
        <v>3024000</v>
      </c>
      <c r="M176" s="15" t="str">
        <f t="shared" si="63"/>
        <v>Đúng</v>
      </c>
      <c r="N176" s="21">
        <f t="shared" si="65"/>
        <v>3024000</v>
      </c>
      <c r="O176" s="21" t="str">
        <f t="shared" si="66"/>
        <v/>
      </c>
      <c r="P176" s="21"/>
      <c r="Q176" s="18">
        <f t="shared" si="64"/>
        <v>3024000</v>
      </c>
      <c r="R176" s="21" t="str">
        <f t="shared" si="67"/>
        <v/>
      </c>
      <c r="S176" s="21"/>
      <c r="T176" s="21"/>
      <c r="U176" s="21" t="str">
        <f t="shared" si="68"/>
        <v/>
      </c>
      <c r="V176" s="21"/>
      <c r="W176" s="21"/>
      <c r="X176" s="21"/>
      <c r="Y176" s="21"/>
      <c r="Z176" s="21"/>
      <c r="AA176" s="21"/>
      <c r="AB176" s="21"/>
      <c r="AC176" s="21"/>
      <c r="AD176" s="21"/>
      <c r="AE176" s="21"/>
      <c r="AF176" s="21"/>
      <c r="AG176" s="21"/>
      <c r="AH176" s="21" t="str">
        <f t="shared" si="69"/>
        <v/>
      </c>
      <c r="AI176" s="20"/>
      <c r="AJ176" s="21" t="str">
        <f t="shared" si="70"/>
        <v/>
      </c>
      <c r="AK176" s="26"/>
      <c r="AL176" s="21" t="str">
        <f t="shared" si="71"/>
        <v/>
      </c>
      <c r="AM176" s="21" t="str">
        <f t="shared" si="72"/>
        <v/>
      </c>
      <c r="AN176" s="21" t="str">
        <f t="shared" si="73"/>
        <v/>
      </c>
      <c r="AO176" s="21" t="str">
        <f t="shared" si="74"/>
        <v/>
      </c>
      <c r="AP176" s="21" t="str">
        <f t="shared" si="75"/>
        <v/>
      </c>
      <c r="AQ176" s="21" t="str">
        <f t="shared" si="76"/>
        <v/>
      </c>
      <c r="AR176" s="21"/>
      <c r="AS176" s="27"/>
      <c r="AT176" s="19"/>
    </row>
    <row r="177" spans="2:46" ht="30" customHeight="1" x14ac:dyDescent="0.25">
      <c r="B177" s="47" t="s">
        <v>394</v>
      </c>
      <c r="C177" s="48">
        <v>0</v>
      </c>
      <c r="D177" s="48">
        <v>9250000</v>
      </c>
      <c r="E177" s="48">
        <v>3034992464</v>
      </c>
      <c r="F177" s="47" t="s">
        <v>395</v>
      </c>
      <c r="K177" s="4" t="s">
        <v>67</v>
      </c>
      <c r="L177" s="26">
        <f t="shared" si="62"/>
        <v>9250000</v>
      </c>
      <c r="M177" s="15" t="str">
        <f t="shared" si="63"/>
        <v>Đúng</v>
      </c>
      <c r="N177" s="21">
        <f t="shared" si="65"/>
        <v>9250000</v>
      </c>
      <c r="O177" s="21" t="str">
        <f t="shared" si="66"/>
        <v/>
      </c>
      <c r="P177" s="21"/>
      <c r="Q177" s="18">
        <f t="shared" si="64"/>
        <v>9250000</v>
      </c>
      <c r="R177" s="21" t="str">
        <f t="shared" si="67"/>
        <v/>
      </c>
      <c r="S177" s="21"/>
      <c r="T177" s="21"/>
      <c r="U177" s="21" t="str">
        <f t="shared" si="68"/>
        <v/>
      </c>
      <c r="V177" s="21"/>
      <c r="W177" s="21"/>
      <c r="X177" s="21"/>
      <c r="Y177" s="21"/>
      <c r="Z177" s="21"/>
      <c r="AA177" s="21"/>
      <c r="AB177" s="21"/>
      <c r="AC177" s="21"/>
      <c r="AD177" s="21"/>
      <c r="AE177" s="21"/>
      <c r="AF177" s="21"/>
      <c r="AG177" s="21"/>
      <c r="AH177" s="21" t="str">
        <f t="shared" si="69"/>
        <v/>
      </c>
      <c r="AI177" s="20"/>
      <c r="AJ177" s="21" t="str">
        <f t="shared" si="70"/>
        <v/>
      </c>
      <c r="AK177" s="26"/>
      <c r="AL177" s="21" t="str">
        <f t="shared" si="71"/>
        <v/>
      </c>
      <c r="AM177" s="21" t="str">
        <f t="shared" si="72"/>
        <v/>
      </c>
      <c r="AN177" s="21" t="str">
        <f t="shared" si="73"/>
        <v/>
      </c>
      <c r="AO177" s="21" t="str">
        <f t="shared" si="74"/>
        <v/>
      </c>
      <c r="AP177" s="21" t="str">
        <f t="shared" si="75"/>
        <v/>
      </c>
      <c r="AQ177" s="21" t="str">
        <f t="shared" si="76"/>
        <v/>
      </c>
      <c r="AR177" s="21"/>
      <c r="AS177" s="27"/>
      <c r="AT177" s="19"/>
    </row>
    <row r="178" spans="2:46" ht="30" customHeight="1" x14ac:dyDescent="0.25">
      <c r="B178" s="47" t="s">
        <v>396</v>
      </c>
      <c r="C178" s="48">
        <v>0</v>
      </c>
      <c r="D178" s="48">
        <v>9250000</v>
      </c>
      <c r="E178" s="48">
        <v>3044242464</v>
      </c>
      <c r="F178" s="47" t="s">
        <v>397</v>
      </c>
      <c r="K178" s="4" t="s">
        <v>67</v>
      </c>
      <c r="L178" s="26">
        <f t="shared" si="62"/>
        <v>9250000</v>
      </c>
      <c r="M178" s="15" t="str">
        <f t="shared" si="63"/>
        <v>Đúng</v>
      </c>
      <c r="N178" s="21">
        <f t="shared" si="65"/>
        <v>9250000</v>
      </c>
      <c r="O178" s="21" t="str">
        <f t="shared" si="66"/>
        <v/>
      </c>
      <c r="P178" s="21"/>
      <c r="Q178" s="18">
        <f t="shared" si="64"/>
        <v>9250000</v>
      </c>
      <c r="R178" s="21" t="str">
        <f t="shared" si="67"/>
        <v/>
      </c>
      <c r="S178" s="21"/>
      <c r="T178" s="21"/>
      <c r="U178" s="21" t="str">
        <f t="shared" si="68"/>
        <v/>
      </c>
      <c r="V178" s="21"/>
      <c r="W178" s="21"/>
      <c r="X178" s="21"/>
      <c r="Y178" s="21"/>
      <c r="Z178" s="21"/>
      <c r="AA178" s="21"/>
      <c r="AB178" s="21"/>
      <c r="AC178" s="21"/>
      <c r="AD178" s="21"/>
      <c r="AE178" s="21"/>
      <c r="AF178" s="21"/>
      <c r="AG178" s="21"/>
      <c r="AH178" s="21" t="str">
        <f t="shared" si="69"/>
        <v/>
      </c>
      <c r="AI178" s="20"/>
      <c r="AJ178" s="21" t="str">
        <f t="shared" si="70"/>
        <v/>
      </c>
      <c r="AK178" s="26"/>
      <c r="AL178" s="21" t="str">
        <f t="shared" si="71"/>
        <v/>
      </c>
      <c r="AM178" s="21" t="str">
        <f t="shared" si="72"/>
        <v/>
      </c>
      <c r="AN178" s="21" t="str">
        <f t="shared" si="73"/>
        <v/>
      </c>
      <c r="AO178" s="21" t="str">
        <f t="shared" si="74"/>
        <v/>
      </c>
      <c r="AP178" s="21" t="str">
        <f t="shared" si="75"/>
        <v/>
      </c>
      <c r="AQ178" s="21" t="str">
        <f t="shared" si="76"/>
        <v/>
      </c>
      <c r="AR178" s="21"/>
      <c r="AS178" s="27"/>
      <c r="AT178" s="19"/>
    </row>
    <row r="179" spans="2:46" ht="30" hidden="1" customHeight="1" x14ac:dyDescent="0.25">
      <c r="B179" s="47" t="s">
        <v>398</v>
      </c>
      <c r="C179" s="48">
        <v>0</v>
      </c>
      <c r="D179" s="48">
        <v>200000</v>
      </c>
      <c r="E179" s="48">
        <v>3044442464</v>
      </c>
      <c r="F179" s="47" t="s">
        <v>399</v>
      </c>
      <c r="K179" s="4" t="s">
        <v>69</v>
      </c>
      <c r="L179" s="26">
        <f t="shared" si="62"/>
        <v>200000</v>
      </c>
      <c r="M179" s="15" t="str">
        <f t="shared" si="63"/>
        <v>Đúng</v>
      </c>
      <c r="N179" s="21" t="str">
        <f t="shared" si="65"/>
        <v/>
      </c>
      <c r="O179" s="21" t="str">
        <f t="shared" si="66"/>
        <v/>
      </c>
      <c r="P179" s="21"/>
      <c r="Q179" s="18">
        <f t="shared" si="64"/>
        <v>200000</v>
      </c>
      <c r="R179" s="21">
        <f t="shared" si="67"/>
        <v>200000</v>
      </c>
      <c r="S179" s="21"/>
      <c r="T179" s="21"/>
      <c r="U179" s="21" t="str">
        <f t="shared" si="68"/>
        <v/>
      </c>
      <c r="V179" s="21"/>
      <c r="W179" s="21"/>
      <c r="X179" s="21"/>
      <c r="Y179" s="21"/>
      <c r="Z179" s="21"/>
      <c r="AA179" s="21"/>
      <c r="AB179" s="21"/>
      <c r="AC179" s="21"/>
      <c r="AD179" s="21"/>
      <c r="AE179" s="21"/>
      <c r="AF179" s="21"/>
      <c r="AG179" s="21"/>
      <c r="AH179" s="21" t="str">
        <f t="shared" si="69"/>
        <v/>
      </c>
      <c r="AI179" s="20"/>
      <c r="AJ179" s="21" t="str">
        <f t="shared" si="70"/>
        <v/>
      </c>
      <c r="AK179" s="26"/>
      <c r="AL179" s="21" t="str">
        <f t="shared" si="71"/>
        <v/>
      </c>
      <c r="AM179" s="21" t="str">
        <f t="shared" si="72"/>
        <v/>
      </c>
      <c r="AN179" s="21" t="str">
        <f t="shared" si="73"/>
        <v/>
      </c>
      <c r="AO179" s="21" t="str">
        <f t="shared" si="74"/>
        <v/>
      </c>
      <c r="AP179" s="21" t="str">
        <f t="shared" si="75"/>
        <v/>
      </c>
      <c r="AQ179" s="21" t="str">
        <f t="shared" si="76"/>
        <v/>
      </c>
      <c r="AR179" s="21"/>
      <c r="AS179" s="27"/>
      <c r="AT179" s="19"/>
    </row>
    <row r="180" spans="2:46" ht="30" hidden="1" customHeight="1" x14ac:dyDescent="0.25">
      <c r="B180" s="47" t="s">
        <v>400</v>
      </c>
      <c r="C180" s="48">
        <v>0</v>
      </c>
      <c r="D180" s="48">
        <v>200000</v>
      </c>
      <c r="E180" s="48">
        <v>3044642464</v>
      </c>
      <c r="F180" s="47" t="s">
        <v>401</v>
      </c>
      <c r="K180" s="4" t="s">
        <v>69</v>
      </c>
      <c r="L180" s="26">
        <f t="shared" si="62"/>
        <v>200000</v>
      </c>
      <c r="M180" s="15" t="str">
        <f t="shared" si="63"/>
        <v>Đúng</v>
      </c>
      <c r="N180" s="21" t="str">
        <f t="shared" si="65"/>
        <v/>
      </c>
      <c r="O180" s="21" t="str">
        <f t="shared" si="66"/>
        <v/>
      </c>
      <c r="P180" s="21"/>
      <c r="Q180" s="18">
        <f t="shared" si="64"/>
        <v>200000</v>
      </c>
      <c r="R180" s="21">
        <f t="shared" si="67"/>
        <v>200000</v>
      </c>
      <c r="S180" s="21"/>
      <c r="T180" s="21"/>
      <c r="U180" s="21" t="str">
        <f t="shared" si="68"/>
        <v/>
      </c>
      <c r="V180" s="21"/>
      <c r="W180" s="21"/>
      <c r="X180" s="21"/>
      <c r="Y180" s="21"/>
      <c r="Z180" s="21"/>
      <c r="AA180" s="21"/>
      <c r="AB180" s="21"/>
      <c r="AC180" s="21"/>
      <c r="AD180" s="21"/>
      <c r="AE180" s="21"/>
      <c r="AF180" s="21"/>
      <c r="AG180" s="21"/>
      <c r="AH180" s="21" t="str">
        <f t="shared" si="69"/>
        <v/>
      </c>
      <c r="AI180" s="20"/>
      <c r="AJ180" s="21" t="str">
        <f t="shared" si="70"/>
        <v/>
      </c>
      <c r="AK180" s="26"/>
      <c r="AL180" s="21" t="str">
        <f t="shared" si="71"/>
        <v/>
      </c>
      <c r="AM180" s="21" t="str">
        <f t="shared" si="72"/>
        <v/>
      </c>
      <c r="AN180" s="21" t="str">
        <f t="shared" si="73"/>
        <v/>
      </c>
      <c r="AO180" s="21" t="str">
        <f t="shared" si="74"/>
        <v/>
      </c>
      <c r="AP180" s="21" t="str">
        <f t="shared" si="75"/>
        <v/>
      </c>
      <c r="AQ180" s="21" t="str">
        <f t="shared" si="76"/>
        <v/>
      </c>
      <c r="AR180" s="21"/>
      <c r="AS180" s="27"/>
      <c r="AT180" s="19"/>
    </row>
    <row r="181" spans="2:46" ht="30" hidden="1" customHeight="1" x14ac:dyDescent="0.25">
      <c r="B181" s="47" t="s">
        <v>402</v>
      </c>
      <c r="C181" s="48">
        <v>0</v>
      </c>
      <c r="D181" s="48">
        <v>720000</v>
      </c>
      <c r="E181" s="48">
        <v>3045362464</v>
      </c>
      <c r="F181" s="47" t="s">
        <v>403</v>
      </c>
      <c r="K181" s="4" t="s">
        <v>64</v>
      </c>
      <c r="L181" s="26">
        <f t="shared" si="62"/>
        <v>720000</v>
      </c>
      <c r="M181" s="15" t="str">
        <f t="shared" si="63"/>
        <v>Đúng</v>
      </c>
      <c r="N181" s="21" t="str">
        <f t="shared" si="65"/>
        <v/>
      </c>
      <c r="O181" s="21" t="str">
        <f t="shared" si="66"/>
        <v/>
      </c>
      <c r="P181" s="21"/>
      <c r="Q181" s="18">
        <f t="shared" si="64"/>
        <v>720000</v>
      </c>
      <c r="R181" s="21" t="str">
        <f t="shared" si="67"/>
        <v/>
      </c>
      <c r="S181" s="21"/>
      <c r="T181" s="21"/>
      <c r="U181" s="21" t="str">
        <f t="shared" si="68"/>
        <v/>
      </c>
      <c r="V181" s="21"/>
      <c r="W181" s="21"/>
      <c r="X181" s="21"/>
      <c r="Y181" s="21"/>
      <c r="Z181" s="21"/>
      <c r="AA181" s="21"/>
      <c r="AB181" s="21"/>
      <c r="AC181" s="21"/>
      <c r="AD181" s="21"/>
      <c r="AE181" s="21"/>
      <c r="AF181" s="21"/>
      <c r="AG181" s="21"/>
      <c r="AH181" s="21" t="str">
        <f t="shared" si="69"/>
        <v/>
      </c>
      <c r="AI181" s="20"/>
      <c r="AJ181" s="21" t="str">
        <f t="shared" si="70"/>
        <v/>
      </c>
      <c r="AK181" s="26"/>
      <c r="AL181" s="21" t="str">
        <f t="shared" si="71"/>
        <v/>
      </c>
      <c r="AM181" s="21" t="str">
        <f t="shared" si="72"/>
        <v/>
      </c>
      <c r="AN181" s="21">
        <f t="shared" si="73"/>
        <v>720000</v>
      </c>
      <c r="AO181" s="21" t="str">
        <f t="shared" si="74"/>
        <v/>
      </c>
      <c r="AP181" s="21" t="str">
        <f t="shared" si="75"/>
        <v/>
      </c>
      <c r="AQ181" s="21" t="str">
        <f t="shared" si="76"/>
        <v/>
      </c>
      <c r="AR181" s="21"/>
      <c r="AS181" s="27"/>
      <c r="AT181" s="19"/>
    </row>
    <row r="182" spans="2:46" ht="30" hidden="1" customHeight="1" x14ac:dyDescent="0.25">
      <c r="B182" s="47" t="s">
        <v>404</v>
      </c>
      <c r="C182" s="48">
        <v>0</v>
      </c>
      <c r="D182" s="48">
        <v>200000</v>
      </c>
      <c r="E182" s="48">
        <v>3045562464</v>
      </c>
      <c r="F182" s="47" t="s">
        <v>405</v>
      </c>
      <c r="K182" s="4" t="s">
        <v>69</v>
      </c>
      <c r="L182" s="26">
        <f t="shared" si="62"/>
        <v>200000</v>
      </c>
      <c r="M182" s="15" t="str">
        <f t="shared" si="63"/>
        <v>Đúng</v>
      </c>
      <c r="N182" s="21" t="str">
        <f t="shared" si="65"/>
        <v/>
      </c>
      <c r="O182" s="21" t="str">
        <f t="shared" si="66"/>
        <v/>
      </c>
      <c r="P182" s="21"/>
      <c r="Q182" s="18">
        <f t="shared" si="64"/>
        <v>200000</v>
      </c>
      <c r="R182" s="21">
        <f t="shared" si="67"/>
        <v>200000</v>
      </c>
      <c r="S182" s="21"/>
      <c r="T182" s="21"/>
      <c r="U182" s="21" t="str">
        <f t="shared" si="68"/>
        <v/>
      </c>
      <c r="V182" s="21"/>
      <c r="W182" s="21"/>
      <c r="X182" s="21"/>
      <c r="Y182" s="21"/>
      <c r="Z182" s="21"/>
      <c r="AA182" s="21"/>
      <c r="AB182" s="21"/>
      <c r="AC182" s="21"/>
      <c r="AD182" s="21"/>
      <c r="AE182" s="21"/>
      <c r="AF182" s="21"/>
      <c r="AG182" s="21"/>
      <c r="AH182" s="21" t="str">
        <f t="shared" si="69"/>
        <v/>
      </c>
      <c r="AI182" s="20"/>
      <c r="AJ182" s="21" t="str">
        <f t="shared" si="70"/>
        <v/>
      </c>
      <c r="AK182" s="26"/>
      <c r="AL182" s="21" t="str">
        <f t="shared" si="71"/>
        <v/>
      </c>
      <c r="AM182" s="21" t="str">
        <f t="shared" si="72"/>
        <v/>
      </c>
      <c r="AN182" s="21" t="str">
        <f t="shared" si="73"/>
        <v/>
      </c>
      <c r="AO182" s="21" t="str">
        <f t="shared" si="74"/>
        <v/>
      </c>
      <c r="AP182" s="21" t="str">
        <f t="shared" si="75"/>
        <v/>
      </c>
      <c r="AQ182" s="21" t="str">
        <f t="shared" si="76"/>
        <v/>
      </c>
      <c r="AR182" s="21"/>
      <c r="AS182" s="27"/>
      <c r="AT182" s="19"/>
    </row>
    <row r="183" spans="2:46" ht="30" hidden="1" customHeight="1" x14ac:dyDescent="0.25">
      <c r="B183" s="47" t="s">
        <v>406</v>
      </c>
      <c r="C183" s="48">
        <v>0</v>
      </c>
      <c r="D183" s="48">
        <v>200000</v>
      </c>
      <c r="E183" s="48">
        <v>3045762464</v>
      </c>
      <c r="F183" s="47" t="s">
        <v>407</v>
      </c>
      <c r="K183" s="4" t="s">
        <v>69</v>
      </c>
      <c r="L183" s="26">
        <f t="shared" si="62"/>
        <v>200000</v>
      </c>
      <c r="M183" s="15" t="str">
        <f t="shared" si="63"/>
        <v>Đúng</v>
      </c>
      <c r="N183" s="21" t="str">
        <f t="shared" si="65"/>
        <v/>
      </c>
      <c r="O183" s="21" t="str">
        <f t="shared" si="66"/>
        <v/>
      </c>
      <c r="P183" s="21"/>
      <c r="Q183" s="18">
        <f t="shared" si="64"/>
        <v>200000</v>
      </c>
      <c r="R183" s="21">
        <f t="shared" si="67"/>
        <v>200000</v>
      </c>
      <c r="S183" s="21"/>
      <c r="T183" s="21"/>
      <c r="U183" s="21" t="str">
        <f t="shared" si="68"/>
        <v/>
      </c>
      <c r="V183" s="21"/>
      <c r="W183" s="21"/>
      <c r="X183" s="21"/>
      <c r="Y183" s="21"/>
      <c r="Z183" s="21"/>
      <c r="AA183" s="21"/>
      <c r="AB183" s="21"/>
      <c r="AC183" s="21"/>
      <c r="AD183" s="21"/>
      <c r="AE183" s="21"/>
      <c r="AF183" s="21"/>
      <c r="AG183" s="21"/>
      <c r="AH183" s="21" t="str">
        <f t="shared" si="69"/>
        <v/>
      </c>
      <c r="AI183" s="20"/>
      <c r="AJ183" s="21" t="str">
        <f t="shared" si="70"/>
        <v/>
      </c>
      <c r="AK183" s="26"/>
      <c r="AL183" s="21" t="str">
        <f t="shared" si="71"/>
        <v/>
      </c>
      <c r="AM183" s="21" t="str">
        <f t="shared" si="72"/>
        <v/>
      </c>
      <c r="AN183" s="21" t="str">
        <f t="shared" si="73"/>
        <v/>
      </c>
      <c r="AO183" s="21" t="str">
        <f t="shared" si="74"/>
        <v/>
      </c>
      <c r="AP183" s="21" t="str">
        <f t="shared" si="75"/>
        <v/>
      </c>
      <c r="AQ183" s="21" t="str">
        <f t="shared" si="76"/>
        <v/>
      </c>
      <c r="AR183" s="21"/>
      <c r="AS183" s="27"/>
      <c r="AT183" s="19"/>
    </row>
    <row r="184" spans="2:46" ht="30" hidden="1" customHeight="1" x14ac:dyDescent="0.25">
      <c r="B184" s="47" t="s">
        <v>408</v>
      </c>
      <c r="C184" s="48">
        <v>0</v>
      </c>
      <c r="D184" s="48">
        <v>200000</v>
      </c>
      <c r="E184" s="48">
        <v>3045962464</v>
      </c>
      <c r="F184" s="47" t="s">
        <v>409</v>
      </c>
      <c r="K184" s="4" t="s">
        <v>69</v>
      </c>
      <c r="L184" s="26">
        <f t="shared" si="62"/>
        <v>200000</v>
      </c>
      <c r="M184" s="15" t="str">
        <f t="shared" si="63"/>
        <v>Đúng</v>
      </c>
      <c r="N184" s="21" t="str">
        <f t="shared" si="65"/>
        <v/>
      </c>
      <c r="O184" s="21" t="str">
        <f t="shared" si="66"/>
        <v/>
      </c>
      <c r="P184" s="21"/>
      <c r="Q184" s="18">
        <f t="shared" si="64"/>
        <v>200000</v>
      </c>
      <c r="R184" s="21">
        <f t="shared" si="67"/>
        <v>200000</v>
      </c>
      <c r="S184" s="21"/>
      <c r="T184" s="21"/>
      <c r="U184" s="21" t="str">
        <f t="shared" si="68"/>
        <v/>
      </c>
      <c r="V184" s="21"/>
      <c r="W184" s="21"/>
      <c r="X184" s="21"/>
      <c r="Y184" s="21"/>
      <c r="Z184" s="21"/>
      <c r="AA184" s="21"/>
      <c r="AB184" s="21"/>
      <c r="AC184" s="21"/>
      <c r="AD184" s="21"/>
      <c r="AE184" s="21"/>
      <c r="AF184" s="21"/>
      <c r="AG184" s="21"/>
      <c r="AH184" s="21" t="str">
        <f t="shared" si="69"/>
        <v/>
      </c>
      <c r="AI184" s="20"/>
      <c r="AJ184" s="21" t="str">
        <f t="shared" si="70"/>
        <v/>
      </c>
      <c r="AK184" s="26"/>
      <c r="AL184" s="21" t="str">
        <f t="shared" si="71"/>
        <v/>
      </c>
      <c r="AM184" s="21" t="str">
        <f t="shared" si="72"/>
        <v/>
      </c>
      <c r="AN184" s="21" t="str">
        <f t="shared" si="73"/>
        <v/>
      </c>
      <c r="AO184" s="21" t="str">
        <f t="shared" si="74"/>
        <v/>
      </c>
      <c r="AP184" s="21" t="str">
        <f t="shared" si="75"/>
        <v/>
      </c>
      <c r="AQ184" s="21" t="str">
        <f t="shared" si="76"/>
        <v/>
      </c>
      <c r="AR184" s="21"/>
      <c r="AS184" s="27"/>
      <c r="AT184" s="19"/>
    </row>
    <row r="185" spans="2:46" ht="30" customHeight="1" x14ac:dyDescent="0.25">
      <c r="B185" s="47" t="s">
        <v>410</v>
      </c>
      <c r="C185" s="48">
        <v>0</v>
      </c>
      <c r="D185" s="48">
        <v>9280000</v>
      </c>
      <c r="E185" s="48">
        <v>3055242464</v>
      </c>
      <c r="F185" s="47" t="s">
        <v>411</v>
      </c>
      <c r="K185" s="4" t="s">
        <v>67</v>
      </c>
      <c r="L185" s="26">
        <f t="shared" si="62"/>
        <v>9280000</v>
      </c>
      <c r="M185" s="15" t="str">
        <f t="shared" si="63"/>
        <v>Đúng</v>
      </c>
      <c r="N185" s="21">
        <f t="shared" si="65"/>
        <v>9280000</v>
      </c>
      <c r="O185" s="21" t="str">
        <f t="shared" si="66"/>
        <v/>
      </c>
      <c r="P185" s="21"/>
      <c r="Q185" s="18">
        <f t="shared" si="64"/>
        <v>9280000</v>
      </c>
      <c r="R185" s="21" t="str">
        <f t="shared" si="67"/>
        <v/>
      </c>
      <c r="S185" s="21"/>
      <c r="T185" s="21"/>
      <c r="U185" s="21" t="str">
        <f t="shared" si="68"/>
        <v/>
      </c>
      <c r="V185" s="21"/>
      <c r="W185" s="21"/>
      <c r="X185" s="21"/>
      <c r="Y185" s="21"/>
      <c r="Z185" s="21"/>
      <c r="AA185" s="21"/>
      <c r="AB185" s="21"/>
      <c r="AC185" s="21"/>
      <c r="AD185" s="21"/>
      <c r="AE185" s="21"/>
      <c r="AF185" s="21"/>
      <c r="AG185" s="21"/>
      <c r="AH185" s="21" t="str">
        <f t="shared" si="69"/>
        <v/>
      </c>
      <c r="AI185" s="20"/>
      <c r="AJ185" s="21" t="str">
        <f t="shared" si="70"/>
        <v/>
      </c>
      <c r="AK185" s="26"/>
      <c r="AL185" s="21" t="str">
        <f t="shared" si="71"/>
        <v/>
      </c>
      <c r="AM185" s="21" t="str">
        <f t="shared" si="72"/>
        <v/>
      </c>
      <c r="AN185" s="21" t="str">
        <f t="shared" si="73"/>
        <v/>
      </c>
      <c r="AO185" s="21" t="str">
        <f t="shared" si="74"/>
        <v/>
      </c>
      <c r="AP185" s="21" t="str">
        <f t="shared" si="75"/>
        <v/>
      </c>
      <c r="AQ185" s="21" t="str">
        <f t="shared" si="76"/>
        <v/>
      </c>
      <c r="AR185" s="21"/>
      <c r="AS185" s="27"/>
      <c r="AT185" s="19"/>
    </row>
    <row r="186" spans="2:46" ht="30" hidden="1" customHeight="1" x14ac:dyDescent="0.25">
      <c r="B186" s="47" t="s">
        <v>412</v>
      </c>
      <c r="C186" s="48">
        <v>0</v>
      </c>
      <c r="D186" s="48">
        <v>1320000</v>
      </c>
      <c r="E186" s="48">
        <v>3056562464</v>
      </c>
      <c r="F186" s="47" t="s">
        <v>413</v>
      </c>
      <c r="K186" s="4" t="s">
        <v>64</v>
      </c>
      <c r="L186" s="26">
        <f t="shared" si="62"/>
        <v>1320000</v>
      </c>
      <c r="M186" s="15" t="str">
        <f t="shared" si="63"/>
        <v>Đúng</v>
      </c>
      <c r="N186" s="21" t="str">
        <f t="shared" si="65"/>
        <v/>
      </c>
      <c r="O186" s="21" t="str">
        <f t="shared" si="66"/>
        <v/>
      </c>
      <c r="P186" s="21"/>
      <c r="Q186" s="18">
        <f t="shared" si="64"/>
        <v>1320000</v>
      </c>
      <c r="R186" s="21" t="str">
        <f t="shared" si="67"/>
        <v/>
      </c>
      <c r="S186" s="21"/>
      <c r="T186" s="21"/>
      <c r="U186" s="21" t="str">
        <f t="shared" si="68"/>
        <v/>
      </c>
      <c r="V186" s="21"/>
      <c r="W186" s="21"/>
      <c r="X186" s="21"/>
      <c r="Y186" s="21"/>
      <c r="Z186" s="21"/>
      <c r="AA186" s="21"/>
      <c r="AB186" s="21"/>
      <c r="AC186" s="21"/>
      <c r="AD186" s="21"/>
      <c r="AE186" s="21"/>
      <c r="AF186" s="21"/>
      <c r="AG186" s="21"/>
      <c r="AH186" s="21" t="str">
        <f t="shared" si="69"/>
        <v/>
      </c>
      <c r="AI186" s="20"/>
      <c r="AJ186" s="21" t="str">
        <f t="shared" si="70"/>
        <v/>
      </c>
      <c r="AK186" s="26"/>
      <c r="AL186" s="21" t="str">
        <f t="shared" si="71"/>
        <v/>
      </c>
      <c r="AM186" s="21" t="str">
        <f t="shared" si="72"/>
        <v/>
      </c>
      <c r="AN186" s="21">
        <f t="shared" si="73"/>
        <v>1320000</v>
      </c>
      <c r="AO186" s="21" t="str">
        <f t="shared" si="74"/>
        <v/>
      </c>
      <c r="AP186" s="21" t="str">
        <f t="shared" si="75"/>
        <v/>
      </c>
      <c r="AQ186" s="21" t="str">
        <f t="shared" si="76"/>
        <v/>
      </c>
      <c r="AR186" s="21"/>
      <c r="AS186" s="27"/>
      <c r="AT186" s="19"/>
    </row>
    <row r="187" spans="2:46" ht="30" hidden="1" customHeight="1" x14ac:dyDescent="0.25">
      <c r="B187" s="47" t="s">
        <v>414</v>
      </c>
      <c r="C187" s="48">
        <v>0</v>
      </c>
      <c r="D187" s="48">
        <v>200000</v>
      </c>
      <c r="E187" s="48">
        <v>3056762464</v>
      </c>
      <c r="F187" s="47" t="s">
        <v>415</v>
      </c>
      <c r="K187" s="4" t="s">
        <v>69</v>
      </c>
      <c r="L187" s="26">
        <f t="shared" si="62"/>
        <v>200000</v>
      </c>
      <c r="M187" s="15" t="str">
        <f t="shared" si="63"/>
        <v>Đúng</v>
      </c>
      <c r="N187" s="21" t="str">
        <f t="shared" si="65"/>
        <v/>
      </c>
      <c r="O187" s="21" t="str">
        <f t="shared" si="66"/>
        <v/>
      </c>
      <c r="P187" s="21"/>
      <c r="Q187" s="18">
        <f t="shared" si="64"/>
        <v>200000</v>
      </c>
      <c r="R187" s="21">
        <f t="shared" si="67"/>
        <v>200000</v>
      </c>
      <c r="S187" s="21"/>
      <c r="T187" s="21"/>
      <c r="U187" s="21" t="str">
        <f t="shared" si="68"/>
        <v/>
      </c>
      <c r="V187" s="21"/>
      <c r="W187" s="21"/>
      <c r="X187" s="21"/>
      <c r="Y187" s="21"/>
      <c r="Z187" s="21"/>
      <c r="AA187" s="21"/>
      <c r="AB187" s="21"/>
      <c r="AC187" s="21"/>
      <c r="AD187" s="21"/>
      <c r="AE187" s="21"/>
      <c r="AF187" s="21"/>
      <c r="AG187" s="21"/>
      <c r="AH187" s="21" t="str">
        <f t="shared" si="69"/>
        <v/>
      </c>
      <c r="AI187" s="20"/>
      <c r="AJ187" s="21" t="str">
        <f t="shared" si="70"/>
        <v/>
      </c>
      <c r="AK187" s="26"/>
      <c r="AL187" s="21" t="str">
        <f t="shared" si="71"/>
        <v/>
      </c>
      <c r="AM187" s="21" t="str">
        <f t="shared" si="72"/>
        <v/>
      </c>
      <c r="AN187" s="21" t="str">
        <f t="shared" si="73"/>
        <v/>
      </c>
      <c r="AO187" s="21" t="str">
        <f t="shared" si="74"/>
        <v/>
      </c>
      <c r="AP187" s="21" t="str">
        <f t="shared" si="75"/>
        <v/>
      </c>
      <c r="AQ187" s="21" t="str">
        <f t="shared" si="76"/>
        <v/>
      </c>
      <c r="AR187" s="21"/>
      <c r="AS187" s="27"/>
      <c r="AT187" s="19"/>
    </row>
    <row r="188" spans="2:46" ht="30" hidden="1" customHeight="1" x14ac:dyDescent="0.25">
      <c r="B188" s="47" t="s">
        <v>416</v>
      </c>
      <c r="C188" s="48">
        <v>0</v>
      </c>
      <c r="D188" s="48">
        <v>200000</v>
      </c>
      <c r="E188" s="48">
        <v>3056962464</v>
      </c>
      <c r="F188" s="47" t="s">
        <v>417</v>
      </c>
      <c r="K188" s="4" t="s">
        <v>69</v>
      </c>
      <c r="L188" s="26">
        <f t="shared" si="62"/>
        <v>200000</v>
      </c>
      <c r="M188" s="15" t="str">
        <f t="shared" si="63"/>
        <v>Đúng</v>
      </c>
      <c r="N188" s="21" t="str">
        <f t="shared" si="65"/>
        <v/>
      </c>
      <c r="O188" s="21" t="str">
        <f t="shared" si="66"/>
        <v/>
      </c>
      <c r="P188" s="21"/>
      <c r="Q188" s="18">
        <f t="shared" si="64"/>
        <v>200000</v>
      </c>
      <c r="R188" s="21">
        <f t="shared" si="67"/>
        <v>200000</v>
      </c>
      <c r="S188" s="21"/>
      <c r="T188" s="21"/>
      <c r="U188" s="21" t="str">
        <f t="shared" si="68"/>
        <v/>
      </c>
      <c r="V188" s="21"/>
      <c r="W188" s="21"/>
      <c r="X188" s="21"/>
      <c r="Y188" s="21"/>
      <c r="Z188" s="21"/>
      <c r="AA188" s="21"/>
      <c r="AB188" s="21"/>
      <c r="AC188" s="21"/>
      <c r="AD188" s="21"/>
      <c r="AE188" s="21"/>
      <c r="AF188" s="21"/>
      <c r="AG188" s="21"/>
      <c r="AH188" s="21" t="str">
        <f t="shared" si="69"/>
        <v/>
      </c>
      <c r="AI188" s="20"/>
      <c r="AJ188" s="21" t="str">
        <f t="shared" si="70"/>
        <v/>
      </c>
      <c r="AK188" s="26"/>
      <c r="AL188" s="21" t="str">
        <f t="shared" si="71"/>
        <v/>
      </c>
      <c r="AM188" s="21" t="str">
        <f t="shared" si="72"/>
        <v/>
      </c>
      <c r="AN188" s="21" t="str">
        <f t="shared" si="73"/>
        <v/>
      </c>
      <c r="AO188" s="21" t="str">
        <f t="shared" si="74"/>
        <v/>
      </c>
      <c r="AP188" s="21" t="str">
        <f t="shared" si="75"/>
        <v/>
      </c>
      <c r="AQ188" s="21" t="str">
        <f t="shared" si="76"/>
        <v/>
      </c>
      <c r="AR188" s="21"/>
      <c r="AS188" s="27"/>
      <c r="AT188" s="19"/>
    </row>
    <row r="189" spans="2:46" ht="30" hidden="1" customHeight="1" x14ac:dyDescent="0.25">
      <c r="B189" s="47" t="s">
        <v>418</v>
      </c>
      <c r="C189" s="48">
        <v>0</v>
      </c>
      <c r="D189" s="48">
        <v>200000</v>
      </c>
      <c r="E189" s="48">
        <v>3057162464</v>
      </c>
      <c r="F189" s="47" t="s">
        <v>419</v>
      </c>
      <c r="K189" s="4" t="s">
        <v>69</v>
      </c>
      <c r="L189" s="26">
        <f t="shared" si="62"/>
        <v>200000</v>
      </c>
      <c r="M189" s="15" t="str">
        <f t="shared" si="63"/>
        <v>Đúng</v>
      </c>
      <c r="N189" s="21" t="str">
        <f t="shared" si="65"/>
        <v/>
      </c>
      <c r="O189" s="21" t="str">
        <f t="shared" si="66"/>
        <v/>
      </c>
      <c r="P189" s="21"/>
      <c r="Q189" s="18">
        <f t="shared" si="64"/>
        <v>200000</v>
      </c>
      <c r="R189" s="21">
        <f t="shared" si="67"/>
        <v>200000</v>
      </c>
      <c r="S189" s="21"/>
      <c r="T189" s="21"/>
      <c r="U189" s="21" t="str">
        <f t="shared" si="68"/>
        <v/>
      </c>
      <c r="V189" s="21"/>
      <c r="W189" s="21"/>
      <c r="X189" s="21"/>
      <c r="Y189" s="21"/>
      <c r="Z189" s="21"/>
      <c r="AA189" s="21"/>
      <c r="AB189" s="21"/>
      <c r="AC189" s="21"/>
      <c r="AD189" s="21"/>
      <c r="AE189" s="21"/>
      <c r="AF189" s="21"/>
      <c r="AG189" s="21"/>
      <c r="AH189" s="21" t="str">
        <f t="shared" si="69"/>
        <v/>
      </c>
      <c r="AI189" s="20"/>
      <c r="AJ189" s="21" t="str">
        <f t="shared" si="70"/>
        <v/>
      </c>
      <c r="AK189" s="26"/>
      <c r="AL189" s="21" t="str">
        <f t="shared" si="71"/>
        <v/>
      </c>
      <c r="AM189" s="21" t="str">
        <f t="shared" si="72"/>
        <v/>
      </c>
      <c r="AN189" s="21" t="str">
        <f t="shared" si="73"/>
        <v/>
      </c>
      <c r="AO189" s="21" t="str">
        <f t="shared" si="74"/>
        <v/>
      </c>
      <c r="AP189" s="21" t="str">
        <f t="shared" si="75"/>
        <v/>
      </c>
      <c r="AQ189" s="21" t="str">
        <f t="shared" si="76"/>
        <v/>
      </c>
      <c r="AR189" s="21"/>
      <c r="AS189" s="27"/>
      <c r="AT189" s="19"/>
    </row>
    <row r="190" spans="2:46" ht="30" hidden="1" customHeight="1" x14ac:dyDescent="0.25">
      <c r="B190" s="47" t="s">
        <v>420</v>
      </c>
      <c r="C190" s="48">
        <v>0</v>
      </c>
      <c r="D190" s="48">
        <v>50000</v>
      </c>
      <c r="E190" s="48">
        <v>3057212464</v>
      </c>
      <c r="F190" s="47" t="s">
        <v>421</v>
      </c>
      <c r="K190" s="4" t="s">
        <v>64</v>
      </c>
      <c r="L190" s="26">
        <f t="shared" si="62"/>
        <v>50000</v>
      </c>
      <c r="M190" s="15" t="str">
        <f t="shared" si="63"/>
        <v>Đúng</v>
      </c>
      <c r="N190" s="21" t="str">
        <f t="shared" si="65"/>
        <v/>
      </c>
      <c r="O190" s="21" t="str">
        <f t="shared" si="66"/>
        <v/>
      </c>
      <c r="P190" s="21"/>
      <c r="Q190" s="18">
        <f t="shared" si="64"/>
        <v>50000</v>
      </c>
      <c r="R190" s="21" t="str">
        <f t="shared" si="67"/>
        <v/>
      </c>
      <c r="S190" s="21"/>
      <c r="T190" s="21"/>
      <c r="U190" s="21" t="str">
        <f t="shared" si="68"/>
        <v/>
      </c>
      <c r="V190" s="21"/>
      <c r="W190" s="21"/>
      <c r="X190" s="21"/>
      <c r="Y190" s="21"/>
      <c r="Z190" s="21"/>
      <c r="AA190" s="21"/>
      <c r="AB190" s="21"/>
      <c r="AC190" s="21"/>
      <c r="AD190" s="21"/>
      <c r="AE190" s="21"/>
      <c r="AF190" s="21"/>
      <c r="AG190" s="21"/>
      <c r="AH190" s="21" t="str">
        <f t="shared" si="69"/>
        <v/>
      </c>
      <c r="AI190" s="20"/>
      <c r="AJ190" s="21" t="str">
        <f t="shared" si="70"/>
        <v/>
      </c>
      <c r="AK190" s="26"/>
      <c r="AL190" s="21" t="str">
        <f t="shared" si="71"/>
        <v/>
      </c>
      <c r="AM190" s="21" t="str">
        <f t="shared" si="72"/>
        <v/>
      </c>
      <c r="AN190" s="21">
        <f t="shared" si="73"/>
        <v>50000</v>
      </c>
      <c r="AO190" s="21" t="str">
        <f t="shared" si="74"/>
        <v/>
      </c>
      <c r="AP190" s="21" t="str">
        <f t="shared" si="75"/>
        <v/>
      </c>
      <c r="AQ190" s="21" t="str">
        <f t="shared" si="76"/>
        <v/>
      </c>
      <c r="AR190" s="21"/>
      <c r="AS190" s="27"/>
      <c r="AT190" s="19"/>
    </row>
    <row r="191" spans="2:46" ht="30" hidden="1" customHeight="1" x14ac:dyDescent="0.25">
      <c r="B191" s="47" t="s">
        <v>422</v>
      </c>
      <c r="C191" s="48">
        <v>0</v>
      </c>
      <c r="D191" s="48">
        <v>50000</v>
      </c>
      <c r="E191" s="48">
        <v>3057262464</v>
      </c>
      <c r="F191" s="47" t="s">
        <v>423</v>
      </c>
      <c r="K191" s="4" t="s">
        <v>64</v>
      </c>
      <c r="L191" s="26">
        <f t="shared" si="62"/>
        <v>50000</v>
      </c>
      <c r="M191" s="15" t="str">
        <f t="shared" si="63"/>
        <v>Đúng</v>
      </c>
      <c r="N191" s="21" t="str">
        <f t="shared" si="65"/>
        <v/>
      </c>
      <c r="O191" s="21" t="str">
        <f t="shared" si="66"/>
        <v/>
      </c>
      <c r="P191" s="21"/>
      <c r="Q191" s="18">
        <f t="shared" si="64"/>
        <v>50000</v>
      </c>
      <c r="R191" s="21" t="str">
        <f t="shared" si="67"/>
        <v/>
      </c>
      <c r="S191" s="21"/>
      <c r="T191" s="21"/>
      <c r="U191" s="21" t="str">
        <f t="shared" si="68"/>
        <v/>
      </c>
      <c r="V191" s="21"/>
      <c r="W191" s="21"/>
      <c r="X191" s="21"/>
      <c r="Y191" s="21"/>
      <c r="Z191" s="21"/>
      <c r="AA191" s="21"/>
      <c r="AB191" s="21"/>
      <c r="AC191" s="21"/>
      <c r="AD191" s="21"/>
      <c r="AE191" s="21"/>
      <c r="AF191" s="21"/>
      <c r="AG191" s="21"/>
      <c r="AH191" s="21" t="str">
        <f t="shared" si="69"/>
        <v/>
      </c>
      <c r="AI191" s="20"/>
      <c r="AJ191" s="21" t="str">
        <f t="shared" si="70"/>
        <v/>
      </c>
      <c r="AK191" s="26"/>
      <c r="AL191" s="21" t="str">
        <f t="shared" si="71"/>
        <v/>
      </c>
      <c r="AM191" s="21" t="str">
        <f t="shared" si="72"/>
        <v/>
      </c>
      <c r="AN191" s="21">
        <f t="shared" si="73"/>
        <v>50000</v>
      </c>
      <c r="AO191" s="21" t="str">
        <f t="shared" si="74"/>
        <v/>
      </c>
      <c r="AP191" s="21" t="str">
        <f t="shared" si="75"/>
        <v/>
      </c>
      <c r="AQ191" s="21" t="str">
        <f t="shared" si="76"/>
        <v/>
      </c>
      <c r="AR191" s="21"/>
      <c r="AS191" s="27"/>
      <c r="AT191" s="19"/>
    </row>
    <row r="192" spans="2:46" ht="30" hidden="1" customHeight="1" x14ac:dyDescent="0.25">
      <c r="B192" s="47" t="s">
        <v>424</v>
      </c>
      <c r="C192" s="48">
        <v>0</v>
      </c>
      <c r="D192" s="48">
        <v>2160000</v>
      </c>
      <c r="E192" s="48">
        <v>3059422464</v>
      </c>
      <c r="F192" s="47" t="s">
        <v>425</v>
      </c>
      <c r="K192" s="4" t="s">
        <v>64</v>
      </c>
      <c r="L192" s="26">
        <f t="shared" si="62"/>
        <v>2160000</v>
      </c>
      <c r="M192" s="15" t="str">
        <f t="shared" si="63"/>
        <v>Đúng</v>
      </c>
      <c r="N192" s="21" t="str">
        <f t="shared" si="65"/>
        <v/>
      </c>
      <c r="O192" s="21" t="str">
        <f t="shared" si="66"/>
        <v/>
      </c>
      <c r="P192" s="21"/>
      <c r="Q192" s="18">
        <f t="shared" si="64"/>
        <v>2160000</v>
      </c>
      <c r="R192" s="21" t="str">
        <f t="shared" si="67"/>
        <v/>
      </c>
      <c r="S192" s="21"/>
      <c r="T192" s="21"/>
      <c r="U192" s="21" t="str">
        <f t="shared" si="68"/>
        <v/>
      </c>
      <c r="V192" s="21"/>
      <c r="W192" s="21"/>
      <c r="X192" s="21"/>
      <c r="Y192" s="21"/>
      <c r="Z192" s="21"/>
      <c r="AA192" s="21"/>
      <c r="AB192" s="21"/>
      <c r="AC192" s="21"/>
      <c r="AD192" s="21"/>
      <c r="AE192" s="21"/>
      <c r="AF192" s="21"/>
      <c r="AG192" s="21"/>
      <c r="AH192" s="21" t="str">
        <f t="shared" si="69"/>
        <v/>
      </c>
      <c r="AI192" s="20"/>
      <c r="AJ192" s="21" t="str">
        <f t="shared" si="70"/>
        <v/>
      </c>
      <c r="AK192" s="26"/>
      <c r="AL192" s="21" t="str">
        <f t="shared" si="71"/>
        <v/>
      </c>
      <c r="AM192" s="21" t="str">
        <f t="shared" si="72"/>
        <v/>
      </c>
      <c r="AN192" s="21">
        <f t="shared" si="73"/>
        <v>2160000</v>
      </c>
      <c r="AO192" s="21" t="str">
        <f t="shared" si="74"/>
        <v/>
      </c>
      <c r="AP192" s="21" t="str">
        <f t="shared" si="75"/>
        <v/>
      </c>
      <c r="AQ192" s="21" t="str">
        <f t="shared" si="76"/>
        <v/>
      </c>
      <c r="AR192" s="21"/>
      <c r="AS192" s="27"/>
      <c r="AT192" s="19"/>
    </row>
    <row r="193" spans="2:46" ht="30" hidden="1" customHeight="1" x14ac:dyDescent="0.25">
      <c r="B193" s="47" t="s">
        <v>426</v>
      </c>
      <c r="C193" s="48">
        <v>0</v>
      </c>
      <c r="D193" s="48">
        <v>200000</v>
      </c>
      <c r="E193" s="48">
        <v>3059622464</v>
      </c>
      <c r="F193" s="47" t="s">
        <v>427</v>
      </c>
      <c r="K193" s="4" t="s">
        <v>69</v>
      </c>
      <c r="L193" s="26">
        <f t="shared" si="62"/>
        <v>200000</v>
      </c>
      <c r="M193" s="15" t="str">
        <f t="shared" si="63"/>
        <v>Đúng</v>
      </c>
      <c r="N193" s="21" t="str">
        <f t="shared" si="65"/>
        <v/>
      </c>
      <c r="O193" s="21" t="str">
        <f t="shared" si="66"/>
        <v/>
      </c>
      <c r="P193" s="21"/>
      <c r="Q193" s="18">
        <f t="shared" si="64"/>
        <v>200000</v>
      </c>
      <c r="R193" s="21">
        <f t="shared" si="67"/>
        <v>200000</v>
      </c>
      <c r="S193" s="21"/>
      <c r="T193" s="21"/>
      <c r="U193" s="21" t="str">
        <f t="shared" si="68"/>
        <v/>
      </c>
      <c r="V193" s="21"/>
      <c r="W193" s="21"/>
      <c r="X193" s="21"/>
      <c r="Y193" s="21"/>
      <c r="Z193" s="21"/>
      <c r="AA193" s="21"/>
      <c r="AB193" s="21"/>
      <c r="AC193" s="21"/>
      <c r="AD193" s="21"/>
      <c r="AE193" s="21"/>
      <c r="AF193" s="21"/>
      <c r="AG193" s="21"/>
      <c r="AH193" s="21" t="str">
        <f t="shared" si="69"/>
        <v/>
      </c>
      <c r="AI193" s="20"/>
      <c r="AJ193" s="21" t="str">
        <f t="shared" si="70"/>
        <v/>
      </c>
      <c r="AK193" s="26"/>
      <c r="AL193" s="21" t="str">
        <f t="shared" si="71"/>
        <v/>
      </c>
      <c r="AM193" s="21" t="str">
        <f t="shared" si="72"/>
        <v/>
      </c>
      <c r="AN193" s="21" t="str">
        <f t="shared" si="73"/>
        <v/>
      </c>
      <c r="AO193" s="21" t="str">
        <f t="shared" si="74"/>
        <v/>
      </c>
      <c r="AP193" s="21" t="str">
        <f t="shared" si="75"/>
        <v/>
      </c>
      <c r="AQ193" s="21" t="str">
        <f t="shared" si="76"/>
        <v/>
      </c>
      <c r="AR193" s="21"/>
      <c r="AS193" s="27"/>
      <c r="AT193" s="19"/>
    </row>
    <row r="194" spans="2:46" ht="30" hidden="1" customHeight="1" x14ac:dyDescent="0.25">
      <c r="B194" s="47" t="s">
        <v>428</v>
      </c>
      <c r="C194" s="48">
        <v>0</v>
      </c>
      <c r="D194" s="48">
        <v>50000</v>
      </c>
      <c r="E194" s="48">
        <v>3059672464</v>
      </c>
      <c r="F194" s="47" t="s">
        <v>429</v>
      </c>
      <c r="K194" s="4" t="s">
        <v>64</v>
      </c>
      <c r="L194" s="26">
        <f t="shared" si="62"/>
        <v>50000</v>
      </c>
      <c r="M194" s="15" t="str">
        <f t="shared" si="63"/>
        <v>Đúng</v>
      </c>
      <c r="N194" s="21" t="str">
        <f t="shared" si="65"/>
        <v/>
      </c>
      <c r="O194" s="21" t="str">
        <f t="shared" si="66"/>
        <v/>
      </c>
      <c r="P194" s="21"/>
      <c r="Q194" s="18">
        <f t="shared" si="64"/>
        <v>50000</v>
      </c>
      <c r="R194" s="21" t="str">
        <f t="shared" si="67"/>
        <v/>
      </c>
      <c r="S194" s="21"/>
      <c r="T194" s="21"/>
      <c r="U194" s="21" t="str">
        <f t="shared" si="68"/>
        <v/>
      </c>
      <c r="V194" s="21"/>
      <c r="W194" s="21"/>
      <c r="X194" s="21"/>
      <c r="Y194" s="21"/>
      <c r="Z194" s="21"/>
      <c r="AA194" s="21"/>
      <c r="AB194" s="21"/>
      <c r="AC194" s="21"/>
      <c r="AD194" s="21"/>
      <c r="AE194" s="21"/>
      <c r="AF194" s="21"/>
      <c r="AG194" s="21"/>
      <c r="AH194" s="21" t="str">
        <f t="shared" si="69"/>
        <v/>
      </c>
      <c r="AI194" s="20"/>
      <c r="AJ194" s="21" t="str">
        <f t="shared" si="70"/>
        <v/>
      </c>
      <c r="AK194" s="26"/>
      <c r="AL194" s="21" t="str">
        <f t="shared" si="71"/>
        <v/>
      </c>
      <c r="AM194" s="21" t="str">
        <f t="shared" si="72"/>
        <v/>
      </c>
      <c r="AN194" s="21">
        <f t="shared" si="73"/>
        <v>50000</v>
      </c>
      <c r="AO194" s="21" t="str">
        <f t="shared" si="74"/>
        <v/>
      </c>
      <c r="AP194" s="21" t="str">
        <f t="shared" si="75"/>
        <v/>
      </c>
      <c r="AQ194" s="21" t="str">
        <f t="shared" si="76"/>
        <v/>
      </c>
      <c r="AR194" s="21"/>
      <c r="AS194" s="27"/>
      <c r="AT194" s="19"/>
    </row>
    <row r="195" spans="2:46" ht="30" hidden="1" customHeight="1" x14ac:dyDescent="0.25">
      <c r="B195" s="47" t="s">
        <v>430</v>
      </c>
      <c r="C195" s="48">
        <v>0</v>
      </c>
      <c r="D195" s="48">
        <v>3600000</v>
      </c>
      <c r="E195" s="48">
        <v>3063272464</v>
      </c>
      <c r="F195" s="47" t="s">
        <v>431</v>
      </c>
      <c r="K195" s="4" t="s">
        <v>64</v>
      </c>
      <c r="L195" s="26">
        <f t="shared" si="62"/>
        <v>3600000</v>
      </c>
      <c r="M195" s="15" t="str">
        <f t="shared" si="63"/>
        <v>Đúng</v>
      </c>
      <c r="N195" s="21" t="str">
        <f t="shared" si="65"/>
        <v/>
      </c>
      <c r="O195" s="21" t="str">
        <f t="shared" si="66"/>
        <v/>
      </c>
      <c r="P195" s="21"/>
      <c r="Q195" s="18">
        <f t="shared" si="64"/>
        <v>3600000</v>
      </c>
      <c r="R195" s="21" t="str">
        <f t="shared" si="67"/>
        <v/>
      </c>
      <c r="S195" s="21"/>
      <c r="T195" s="21"/>
      <c r="U195" s="21" t="str">
        <f t="shared" si="68"/>
        <v/>
      </c>
      <c r="V195" s="21"/>
      <c r="W195" s="21"/>
      <c r="X195" s="21"/>
      <c r="Y195" s="21"/>
      <c r="Z195" s="21"/>
      <c r="AA195" s="21"/>
      <c r="AB195" s="21"/>
      <c r="AC195" s="21"/>
      <c r="AD195" s="21"/>
      <c r="AE195" s="21"/>
      <c r="AF195" s="21"/>
      <c r="AG195" s="21"/>
      <c r="AH195" s="21" t="str">
        <f t="shared" si="69"/>
        <v/>
      </c>
      <c r="AI195" s="20"/>
      <c r="AJ195" s="21" t="str">
        <f t="shared" si="70"/>
        <v/>
      </c>
      <c r="AK195" s="26"/>
      <c r="AL195" s="21" t="str">
        <f t="shared" si="71"/>
        <v/>
      </c>
      <c r="AM195" s="21" t="str">
        <f t="shared" si="72"/>
        <v/>
      </c>
      <c r="AN195" s="21">
        <f t="shared" si="73"/>
        <v>3600000</v>
      </c>
      <c r="AO195" s="21" t="str">
        <f t="shared" si="74"/>
        <v/>
      </c>
      <c r="AP195" s="21" t="str">
        <f t="shared" si="75"/>
        <v/>
      </c>
      <c r="AQ195" s="21" t="str">
        <f t="shared" si="76"/>
        <v/>
      </c>
      <c r="AR195" s="21"/>
      <c r="AS195" s="27"/>
      <c r="AT195" s="19"/>
    </row>
    <row r="196" spans="2:46" ht="30" hidden="1" customHeight="1" x14ac:dyDescent="0.25">
      <c r="B196" s="47" t="s">
        <v>432</v>
      </c>
      <c r="C196" s="48">
        <v>0</v>
      </c>
      <c r="D196" s="48">
        <v>720000</v>
      </c>
      <c r="E196" s="48">
        <v>3063992464</v>
      </c>
      <c r="F196" s="47" t="s">
        <v>433</v>
      </c>
      <c r="K196" s="4" t="s">
        <v>64</v>
      </c>
      <c r="L196" s="26">
        <f t="shared" si="62"/>
        <v>720000</v>
      </c>
      <c r="M196" s="15" t="str">
        <f t="shared" si="63"/>
        <v>Đúng</v>
      </c>
      <c r="N196" s="21" t="str">
        <f t="shared" si="65"/>
        <v/>
      </c>
      <c r="O196" s="21" t="str">
        <f t="shared" si="66"/>
        <v/>
      </c>
      <c r="P196" s="21"/>
      <c r="Q196" s="18">
        <f t="shared" si="64"/>
        <v>720000</v>
      </c>
      <c r="R196" s="21" t="str">
        <f t="shared" si="67"/>
        <v/>
      </c>
      <c r="S196" s="21"/>
      <c r="T196" s="21"/>
      <c r="U196" s="21" t="str">
        <f t="shared" si="68"/>
        <v/>
      </c>
      <c r="V196" s="21"/>
      <c r="W196" s="21"/>
      <c r="X196" s="21"/>
      <c r="Y196" s="21"/>
      <c r="Z196" s="21"/>
      <c r="AA196" s="21"/>
      <c r="AB196" s="21"/>
      <c r="AC196" s="21"/>
      <c r="AD196" s="21"/>
      <c r="AE196" s="21"/>
      <c r="AF196" s="21"/>
      <c r="AG196" s="21"/>
      <c r="AH196" s="21" t="str">
        <f t="shared" si="69"/>
        <v/>
      </c>
      <c r="AI196" s="20"/>
      <c r="AJ196" s="21" t="str">
        <f t="shared" si="70"/>
        <v/>
      </c>
      <c r="AK196" s="26"/>
      <c r="AL196" s="21" t="str">
        <f t="shared" si="71"/>
        <v/>
      </c>
      <c r="AM196" s="21" t="str">
        <f t="shared" si="72"/>
        <v/>
      </c>
      <c r="AN196" s="21">
        <f t="shared" si="73"/>
        <v>720000</v>
      </c>
      <c r="AO196" s="21" t="str">
        <f t="shared" si="74"/>
        <v/>
      </c>
      <c r="AP196" s="21" t="str">
        <f t="shared" si="75"/>
        <v/>
      </c>
      <c r="AQ196" s="21" t="str">
        <f t="shared" si="76"/>
        <v/>
      </c>
      <c r="AR196" s="21"/>
      <c r="AS196" s="27"/>
      <c r="AT196" s="19"/>
    </row>
    <row r="197" spans="2:46" ht="30" customHeight="1" x14ac:dyDescent="0.25">
      <c r="B197" s="47" t="s">
        <v>434</v>
      </c>
      <c r="C197" s="48">
        <v>0</v>
      </c>
      <c r="D197" s="48">
        <v>9280000</v>
      </c>
      <c r="E197" s="48">
        <v>3073272464</v>
      </c>
      <c r="F197" s="47" t="s">
        <v>435</v>
      </c>
      <c r="K197" s="4" t="s">
        <v>67</v>
      </c>
      <c r="L197" s="26">
        <f t="shared" si="62"/>
        <v>9280000</v>
      </c>
      <c r="M197" s="15" t="str">
        <f t="shared" si="63"/>
        <v>Đúng</v>
      </c>
      <c r="N197" s="21">
        <f t="shared" si="65"/>
        <v>9280000</v>
      </c>
      <c r="O197" s="21" t="str">
        <f t="shared" si="66"/>
        <v/>
      </c>
      <c r="P197" s="21"/>
      <c r="Q197" s="18">
        <f t="shared" si="64"/>
        <v>9280000</v>
      </c>
      <c r="R197" s="21" t="str">
        <f t="shared" si="67"/>
        <v/>
      </c>
      <c r="S197" s="21"/>
      <c r="T197" s="21"/>
      <c r="U197" s="21" t="str">
        <f t="shared" si="68"/>
        <v/>
      </c>
      <c r="V197" s="21"/>
      <c r="W197" s="21"/>
      <c r="X197" s="21"/>
      <c r="Y197" s="21"/>
      <c r="Z197" s="21"/>
      <c r="AA197" s="21"/>
      <c r="AB197" s="21"/>
      <c r="AC197" s="21"/>
      <c r="AD197" s="21"/>
      <c r="AE197" s="21"/>
      <c r="AF197" s="21"/>
      <c r="AG197" s="21"/>
      <c r="AH197" s="21" t="str">
        <f t="shared" si="69"/>
        <v/>
      </c>
      <c r="AI197" s="20"/>
      <c r="AJ197" s="21" t="str">
        <f t="shared" si="70"/>
        <v/>
      </c>
      <c r="AK197" s="26"/>
      <c r="AL197" s="21" t="str">
        <f t="shared" si="71"/>
        <v/>
      </c>
      <c r="AM197" s="21" t="str">
        <f t="shared" si="72"/>
        <v/>
      </c>
      <c r="AN197" s="21" t="str">
        <f t="shared" si="73"/>
        <v/>
      </c>
      <c r="AO197" s="21" t="str">
        <f t="shared" si="74"/>
        <v/>
      </c>
      <c r="AP197" s="21" t="str">
        <f t="shared" si="75"/>
        <v/>
      </c>
      <c r="AQ197" s="21" t="str">
        <f t="shared" si="76"/>
        <v/>
      </c>
      <c r="AR197" s="21"/>
      <c r="AS197" s="27"/>
      <c r="AT197" s="19"/>
    </row>
    <row r="198" spans="2:46" ht="30" hidden="1" customHeight="1" x14ac:dyDescent="0.25">
      <c r="B198" s="47" t="s">
        <v>436</v>
      </c>
      <c r="C198" s="48">
        <v>0</v>
      </c>
      <c r="D198" s="48">
        <v>36170550</v>
      </c>
      <c r="E198" s="48">
        <v>3109443014</v>
      </c>
      <c r="F198" s="47" t="s">
        <v>437</v>
      </c>
      <c r="K198" s="4" t="s">
        <v>493</v>
      </c>
      <c r="L198" s="26">
        <f t="shared" si="62"/>
        <v>36170550</v>
      </c>
      <c r="M198" s="15" t="str">
        <f t="shared" si="63"/>
        <v>Đúng</v>
      </c>
      <c r="N198" s="21" t="str">
        <f t="shared" si="65"/>
        <v/>
      </c>
      <c r="O198" s="21" t="str">
        <f t="shared" si="66"/>
        <v/>
      </c>
      <c r="P198" s="21"/>
      <c r="Q198" s="18">
        <f t="shared" si="64"/>
        <v>36170550</v>
      </c>
      <c r="R198" s="21" t="str">
        <f t="shared" si="67"/>
        <v/>
      </c>
      <c r="S198" s="21"/>
      <c r="T198" s="21"/>
      <c r="U198" s="21">
        <f t="shared" si="68"/>
        <v>36170550</v>
      </c>
      <c r="V198" s="21"/>
      <c r="W198" s="21"/>
      <c r="X198" s="21"/>
      <c r="Y198" s="21"/>
      <c r="Z198" s="21"/>
      <c r="AA198" s="21"/>
      <c r="AB198" s="21"/>
      <c r="AC198" s="21"/>
      <c r="AD198" s="21"/>
      <c r="AE198" s="21"/>
      <c r="AF198" s="21"/>
      <c r="AG198" s="21"/>
      <c r="AH198" s="21" t="str">
        <f t="shared" si="69"/>
        <v/>
      </c>
      <c r="AI198" s="20"/>
      <c r="AJ198" s="21" t="str">
        <f t="shared" si="70"/>
        <v/>
      </c>
      <c r="AK198" s="26"/>
      <c r="AL198" s="21" t="str">
        <f t="shared" si="71"/>
        <v/>
      </c>
      <c r="AM198" s="21" t="str">
        <f t="shared" si="72"/>
        <v/>
      </c>
      <c r="AN198" s="21" t="str">
        <f t="shared" si="73"/>
        <v/>
      </c>
      <c r="AO198" s="21" t="str">
        <f t="shared" si="74"/>
        <v/>
      </c>
      <c r="AP198" s="21" t="str">
        <f t="shared" si="75"/>
        <v/>
      </c>
      <c r="AQ198" s="21" t="str">
        <f t="shared" si="76"/>
        <v/>
      </c>
      <c r="AR198" s="21"/>
      <c r="AS198" s="27"/>
      <c r="AT198" s="19"/>
    </row>
    <row r="199" spans="2:46" ht="30" hidden="1" customHeight="1" x14ac:dyDescent="0.25">
      <c r="B199" s="47" t="s">
        <v>438</v>
      </c>
      <c r="C199" s="48">
        <v>0</v>
      </c>
      <c r="D199" s="48">
        <v>720000</v>
      </c>
      <c r="E199" s="48">
        <v>3110163014</v>
      </c>
      <c r="F199" s="47" t="s">
        <v>439</v>
      </c>
      <c r="K199" s="4" t="s">
        <v>64</v>
      </c>
      <c r="L199" s="26">
        <f t="shared" si="62"/>
        <v>720000</v>
      </c>
      <c r="M199" s="15" t="str">
        <f t="shared" si="63"/>
        <v>Đúng</v>
      </c>
      <c r="N199" s="21" t="str">
        <f t="shared" si="65"/>
        <v/>
      </c>
      <c r="O199" s="21" t="str">
        <f t="shared" si="66"/>
        <v/>
      </c>
      <c r="P199" s="21"/>
      <c r="Q199" s="18">
        <f t="shared" si="64"/>
        <v>720000</v>
      </c>
      <c r="R199" s="21" t="str">
        <f t="shared" si="67"/>
        <v/>
      </c>
      <c r="S199" s="21"/>
      <c r="T199" s="21"/>
      <c r="U199" s="21" t="str">
        <f t="shared" si="68"/>
        <v/>
      </c>
      <c r="V199" s="21"/>
      <c r="W199" s="21"/>
      <c r="X199" s="21"/>
      <c r="Y199" s="21"/>
      <c r="Z199" s="21"/>
      <c r="AA199" s="21"/>
      <c r="AB199" s="21"/>
      <c r="AC199" s="21"/>
      <c r="AD199" s="21"/>
      <c r="AE199" s="21"/>
      <c r="AF199" s="21"/>
      <c r="AG199" s="21"/>
      <c r="AH199" s="21" t="str">
        <f t="shared" si="69"/>
        <v/>
      </c>
      <c r="AI199" s="20"/>
      <c r="AJ199" s="21" t="str">
        <f t="shared" si="70"/>
        <v/>
      </c>
      <c r="AK199" s="26"/>
      <c r="AL199" s="21" t="str">
        <f t="shared" si="71"/>
        <v/>
      </c>
      <c r="AM199" s="21" t="str">
        <f t="shared" si="72"/>
        <v/>
      </c>
      <c r="AN199" s="21">
        <f t="shared" si="73"/>
        <v>720000</v>
      </c>
      <c r="AO199" s="21" t="str">
        <f t="shared" si="74"/>
        <v/>
      </c>
      <c r="AP199" s="21" t="str">
        <f t="shared" si="75"/>
        <v/>
      </c>
      <c r="AQ199" s="21" t="str">
        <f t="shared" si="76"/>
        <v/>
      </c>
      <c r="AR199" s="21"/>
      <c r="AS199" s="27"/>
      <c r="AT199" s="19"/>
    </row>
    <row r="200" spans="2:46" ht="30" hidden="1" customHeight="1" x14ac:dyDescent="0.25">
      <c r="B200" s="47" t="s">
        <v>440</v>
      </c>
      <c r="C200" s="48">
        <v>0</v>
      </c>
      <c r="D200" s="48">
        <v>1080000</v>
      </c>
      <c r="E200" s="48">
        <v>3111243014</v>
      </c>
      <c r="F200" s="47" t="s">
        <v>441</v>
      </c>
      <c r="K200" s="4" t="s">
        <v>64</v>
      </c>
      <c r="L200" s="26">
        <f t="shared" si="62"/>
        <v>1080000</v>
      </c>
      <c r="M200" s="15" t="str">
        <f t="shared" si="63"/>
        <v>Đúng</v>
      </c>
      <c r="N200" s="21" t="str">
        <f t="shared" si="65"/>
        <v/>
      </c>
      <c r="O200" s="21" t="str">
        <f t="shared" si="66"/>
        <v/>
      </c>
      <c r="P200" s="21"/>
      <c r="Q200" s="18">
        <f t="shared" si="64"/>
        <v>1080000</v>
      </c>
      <c r="R200" s="21" t="str">
        <f t="shared" si="67"/>
        <v/>
      </c>
      <c r="S200" s="21"/>
      <c r="T200" s="21"/>
      <c r="U200" s="21" t="str">
        <f t="shared" si="68"/>
        <v/>
      </c>
      <c r="V200" s="21"/>
      <c r="W200" s="21"/>
      <c r="X200" s="21"/>
      <c r="Y200" s="21"/>
      <c r="Z200" s="21"/>
      <c r="AA200" s="21"/>
      <c r="AB200" s="21"/>
      <c r="AC200" s="21"/>
      <c r="AD200" s="21"/>
      <c r="AE200" s="21"/>
      <c r="AF200" s="21"/>
      <c r="AG200" s="21"/>
      <c r="AH200" s="21" t="str">
        <f t="shared" si="69"/>
        <v/>
      </c>
      <c r="AI200" s="20"/>
      <c r="AJ200" s="21" t="str">
        <f t="shared" si="70"/>
        <v/>
      </c>
      <c r="AK200" s="26"/>
      <c r="AL200" s="21" t="str">
        <f t="shared" si="71"/>
        <v/>
      </c>
      <c r="AM200" s="21" t="str">
        <f t="shared" si="72"/>
        <v/>
      </c>
      <c r="AN200" s="21">
        <f t="shared" si="73"/>
        <v>1080000</v>
      </c>
      <c r="AO200" s="21" t="str">
        <f t="shared" si="74"/>
        <v/>
      </c>
      <c r="AP200" s="21" t="str">
        <f t="shared" si="75"/>
        <v/>
      </c>
      <c r="AQ200" s="21" t="str">
        <f t="shared" si="76"/>
        <v/>
      </c>
      <c r="AR200" s="21"/>
      <c r="AS200" s="27"/>
      <c r="AT200" s="19"/>
    </row>
    <row r="201" spans="2:46" ht="30" customHeight="1" x14ac:dyDescent="0.25">
      <c r="B201" s="47" t="s">
        <v>442</v>
      </c>
      <c r="C201" s="48">
        <v>0</v>
      </c>
      <c r="D201" s="48">
        <v>30240000</v>
      </c>
      <c r="E201" s="48">
        <v>3141483014</v>
      </c>
      <c r="F201" s="47" t="s">
        <v>443</v>
      </c>
      <c r="K201" s="4" t="s">
        <v>67</v>
      </c>
      <c r="L201" s="26">
        <f t="shared" si="62"/>
        <v>30240000</v>
      </c>
      <c r="M201" s="15" t="str">
        <f t="shared" si="63"/>
        <v>Đúng</v>
      </c>
      <c r="N201" s="21">
        <f t="shared" si="65"/>
        <v>30240000</v>
      </c>
      <c r="O201" s="21" t="str">
        <f t="shared" si="66"/>
        <v/>
      </c>
      <c r="P201" s="21"/>
      <c r="Q201" s="18">
        <f t="shared" si="64"/>
        <v>30240000</v>
      </c>
      <c r="R201" s="21" t="str">
        <f t="shared" si="67"/>
        <v/>
      </c>
      <c r="S201" s="21"/>
      <c r="T201" s="21"/>
      <c r="U201" s="21" t="str">
        <f t="shared" si="68"/>
        <v/>
      </c>
      <c r="V201" s="21"/>
      <c r="W201" s="21"/>
      <c r="X201" s="21"/>
      <c r="Y201" s="21"/>
      <c r="Z201" s="21"/>
      <c r="AA201" s="21"/>
      <c r="AB201" s="21"/>
      <c r="AC201" s="21"/>
      <c r="AD201" s="21"/>
      <c r="AE201" s="21"/>
      <c r="AF201" s="21"/>
      <c r="AG201" s="21"/>
      <c r="AH201" s="21" t="str">
        <f t="shared" si="69"/>
        <v/>
      </c>
      <c r="AI201" s="20"/>
      <c r="AJ201" s="21" t="str">
        <f t="shared" si="70"/>
        <v/>
      </c>
      <c r="AK201" s="26"/>
      <c r="AL201" s="21" t="str">
        <f t="shared" si="71"/>
        <v/>
      </c>
      <c r="AM201" s="21" t="str">
        <f t="shared" si="72"/>
        <v/>
      </c>
      <c r="AN201" s="21" t="str">
        <f t="shared" si="73"/>
        <v/>
      </c>
      <c r="AO201" s="21" t="str">
        <f t="shared" si="74"/>
        <v/>
      </c>
      <c r="AP201" s="21" t="str">
        <f t="shared" si="75"/>
        <v/>
      </c>
      <c r="AQ201" s="21" t="str">
        <f t="shared" si="76"/>
        <v/>
      </c>
      <c r="AR201" s="21"/>
      <c r="AS201" s="27"/>
      <c r="AT201" s="19"/>
    </row>
    <row r="202" spans="2:46" ht="30" hidden="1" customHeight="1" x14ac:dyDescent="0.25">
      <c r="B202" s="47" t="s">
        <v>444</v>
      </c>
      <c r="C202" s="48">
        <v>0</v>
      </c>
      <c r="D202" s="48">
        <v>2640000</v>
      </c>
      <c r="E202" s="48">
        <v>3144123014</v>
      </c>
      <c r="F202" s="47" t="s">
        <v>445</v>
      </c>
      <c r="K202" s="4" t="s">
        <v>64</v>
      </c>
      <c r="L202" s="26">
        <f t="shared" si="62"/>
        <v>2640000</v>
      </c>
      <c r="M202" s="15" t="str">
        <f t="shared" si="63"/>
        <v>Đúng</v>
      </c>
      <c r="N202" s="21" t="str">
        <f t="shared" si="65"/>
        <v/>
      </c>
      <c r="O202" s="21" t="str">
        <f t="shared" si="66"/>
        <v/>
      </c>
      <c r="P202" s="21"/>
      <c r="Q202" s="18">
        <f t="shared" si="64"/>
        <v>2640000</v>
      </c>
      <c r="R202" s="21" t="str">
        <f t="shared" si="67"/>
        <v/>
      </c>
      <c r="S202" s="21"/>
      <c r="T202" s="21"/>
      <c r="U202" s="21" t="str">
        <f t="shared" si="68"/>
        <v/>
      </c>
      <c r="V202" s="21"/>
      <c r="W202" s="21"/>
      <c r="X202" s="21"/>
      <c r="Y202" s="21"/>
      <c r="Z202" s="21"/>
      <c r="AA202" s="21"/>
      <c r="AB202" s="21"/>
      <c r="AC202" s="21"/>
      <c r="AD202" s="21"/>
      <c r="AE202" s="21"/>
      <c r="AF202" s="21"/>
      <c r="AG202" s="21"/>
      <c r="AH202" s="21" t="str">
        <f t="shared" si="69"/>
        <v/>
      </c>
      <c r="AI202" s="20"/>
      <c r="AJ202" s="21" t="str">
        <f t="shared" si="70"/>
        <v/>
      </c>
      <c r="AK202" s="26"/>
      <c r="AL202" s="21" t="str">
        <f t="shared" si="71"/>
        <v/>
      </c>
      <c r="AM202" s="21" t="str">
        <f t="shared" si="72"/>
        <v/>
      </c>
      <c r="AN202" s="21">
        <f t="shared" si="73"/>
        <v>2640000</v>
      </c>
      <c r="AO202" s="21" t="str">
        <f t="shared" si="74"/>
        <v/>
      </c>
      <c r="AP202" s="21" t="str">
        <f t="shared" si="75"/>
        <v/>
      </c>
      <c r="AQ202" s="21" t="str">
        <f t="shared" si="76"/>
        <v/>
      </c>
      <c r="AR202" s="21"/>
      <c r="AS202" s="27"/>
      <c r="AT202" s="19"/>
    </row>
    <row r="203" spans="2:46" ht="30" hidden="1" customHeight="1" x14ac:dyDescent="0.25">
      <c r="B203" s="47" t="s">
        <v>446</v>
      </c>
      <c r="C203" s="48">
        <v>0</v>
      </c>
      <c r="D203" s="48">
        <v>720000</v>
      </c>
      <c r="E203" s="48">
        <v>3144843014</v>
      </c>
      <c r="F203" s="47" t="s">
        <v>447</v>
      </c>
      <c r="K203" s="4" t="s">
        <v>64</v>
      </c>
      <c r="L203" s="26">
        <f t="shared" si="62"/>
        <v>720000</v>
      </c>
      <c r="M203" s="15" t="str">
        <f t="shared" si="63"/>
        <v>Đúng</v>
      </c>
      <c r="N203" s="21" t="str">
        <f t="shared" si="65"/>
        <v/>
      </c>
      <c r="O203" s="21" t="str">
        <f t="shared" si="66"/>
        <v/>
      </c>
      <c r="P203" s="21"/>
      <c r="Q203" s="18">
        <f t="shared" si="64"/>
        <v>720000</v>
      </c>
      <c r="R203" s="21" t="str">
        <f t="shared" si="67"/>
        <v/>
      </c>
      <c r="S203" s="21"/>
      <c r="T203" s="21"/>
      <c r="U203" s="21" t="str">
        <f t="shared" si="68"/>
        <v/>
      </c>
      <c r="V203" s="21"/>
      <c r="W203" s="21"/>
      <c r="X203" s="21"/>
      <c r="Y203" s="21"/>
      <c r="Z203" s="21"/>
      <c r="AA203" s="21"/>
      <c r="AB203" s="21"/>
      <c r="AC203" s="21"/>
      <c r="AD203" s="21"/>
      <c r="AE203" s="21"/>
      <c r="AF203" s="21"/>
      <c r="AG203" s="21"/>
      <c r="AH203" s="21" t="str">
        <f t="shared" si="69"/>
        <v/>
      </c>
      <c r="AI203" s="20"/>
      <c r="AJ203" s="21" t="str">
        <f t="shared" si="70"/>
        <v/>
      </c>
      <c r="AK203" s="26"/>
      <c r="AL203" s="21" t="str">
        <f t="shared" si="71"/>
        <v/>
      </c>
      <c r="AM203" s="21" t="str">
        <f t="shared" si="72"/>
        <v/>
      </c>
      <c r="AN203" s="21">
        <f t="shared" si="73"/>
        <v>720000</v>
      </c>
      <c r="AO203" s="21" t="str">
        <f t="shared" si="74"/>
        <v/>
      </c>
      <c r="AP203" s="21" t="str">
        <f t="shared" si="75"/>
        <v/>
      </c>
      <c r="AQ203" s="21" t="str">
        <f t="shared" si="76"/>
        <v/>
      </c>
      <c r="AR203" s="21"/>
      <c r="AS203" s="27"/>
      <c r="AT203" s="19"/>
    </row>
    <row r="204" spans="2:46" ht="30" hidden="1" customHeight="1" x14ac:dyDescent="0.25">
      <c r="B204" s="47" t="s">
        <v>448</v>
      </c>
      <c r="C204" s="48">
        <v>0</v>
      </c>
      <c r="D204" s="48">
        <v>720000</v>
      </c>
      <c r="E204" s="48">
        <v>3145563014</v>
      </c>
      <c r="F204" s="47" t="s">
        <v>449</v>
      </c>
      <c r="K204" s="4" t="s">
        <v>64</v>
      </c>
      <c r="L204" s="26">
        <f t="shared" si="62"/>
        <v>720000</v>
      </c>
      <c r="M204" s="15" t="str">
        <f t="shared" si="63"/>
        <v>Đúng</v>
      </c>
      <c r="N204" s="21" t="str">
        <f t="shared" si="65"/>
        <v/>
      </c>
      <c r="O204" s="21" t="str">
        <f t="shared" si="66"/>
        <v/>
      </c>
      <c r="P204" s="21"/>
      <c r="Q204" s="18">
        <f t="shared" si="64"/>
        <v>720000</v>
      </c>
      <c r="R204" s="21" t="str">
        <f t="shared" si="67"/>
        <v/>
      </c>
      <c r="S204" s="21"/>
      <c r="T204" s="21"/>
      <c r="U204" s="21" t="str">
        <f t="shared" si="68"/>
        <v/>
      </c>
      <c r="V204" s="21"/>
      <c r="W204" s="21"/>
      <c r="X204" s="21"/>
      <c r="Y204" s="21"/>
      <c r="Z204" s="21"/>
      <c r="AA204" s="21"/>
      <c r="AB204" s="21"/>
      <c r="AC204" s="21"/>
      <c r="AD204" s="21"/>
      <c r="AE204" s="21"/>
      <c r="AF204" s="21"/>
      <c r="AG204" s="21"/>
      <c r="AH204" s="21" t="str">
        <f t="shared" si="69"/>
        <v/>
      </c>
      <c r="AI204" s="20"/>
      <c r="AJ204" s="21" t="str">
        <f t="shared" si="70"/>
        <v/>
      </c>
      <c r="AK204" s="26"/>
      <c r="AL204" s="21" t="str">
        <f t="shared" si="71"/>
        <v/>
      </c>
      <c r="AM204" s="21" t="str">
        <f t="shared" si="72"/>
        <v/>
      </c>
      <c r="AN204" s="21">
        <f t="shared" si="73"/>
        <v>720000</v>
      </c>
      <c r="AO204" s="21" t="str">
        <f t="shared" si="74"/>
        <v/>
      </c>
      <c r="AP204" s="21" t="str">
        <f t="shared" si="75"/>
        <v/>
      </c>
      <c r="AQ204" s="21" t="str">
        <f t="shared" si="76"/>
        <v/>
      </c>
      <c r="AR204" s="21"/>
      <c r="AS204" s="27"/>
      <c r="AT204" s="19"/>
    </row>
    <row r="205" spans="2:46" ht="30" hidden="1" customHeight="1" x14ac:dyDescent="0.25">
      <c r="B205" s="47" t="s">
        <v>450</v>
      </c>
      <c r="C205" s="48">
        <v>0</v>
      </c>
      <c r="D205" s="48">
        <v>1260000</v>
      </c>
      <c r="E205" s="48">
        <v>3146823014</v>
      </c>
      <c r="F205" s="47" t="s">
        <v>451</v>
      </c>
      <c r="K205" s="4" t="s">
        <v>64</v>
      </c>
      <c r="L205" s="26">
        <f t="shared" si="62"/>
        <v>1260000</v>
      </c>
      <c r="M205" s="15" t="str">
        <f t="shared" si="63"/>
        <v>Đúng</v>
      </c>
      <c r="N205" s="21" t="str">
        <f t="shared" si="65"/>
        <v/>
      </c>
      <c r="O205" s="21" t="str">
        <f t="shared" si="66"/>
        <v/>
      </c>
      <c r="P205" s="21"/>
      <c r="Q205" s="18">
        <f t="shared" si="64"/>
        <v>1260000</v>
      </c>
      <c r="R205" s="21" t="str">
        <f t="shared" si="67"/>
        <v/>
      </c>
      <c r="S205" s="21"/>
      <c r="T205" s="21"/>
      <c r="U205" s="21" t="str">
        <f t="shared" si="68"/>
        <v/>
      </c>
      <c r="V205" s="21"/>
      <c r="W205" s="21"/>
      <c r="X205" s="21"/>
      <c r="Y205" s="21"/>
      <c r="Z205" s="21"/>
      <c r="AA205" s="21"/>
      <c r="AB205" s="21"/>
      <c r="AC205" s="21"/>
      <c r="AD205" s="21"/>
      <c r="AE205" s="21"/>
      <c r="AF205" s="21"/>
      <c r="AG205" s="21"/>
      <c r="AH205" s="21" t="str">
        <f t="shared" si="69"/>
        <v/>
      </c>
      <c r="AI205" s="20"/>
      <c r="AJ205" s="21" t="str">
        <f t="shared" si="70"/>
        <v/>
      </c>
      <c r="AK205" s="26"/>
      <c r="AL205" s="21" t="str">
        <f t="shared" si="71"/>
        <v/>
      </c>
      <c r="AM205" s="21" t="str">
        <f t="shared" si="72"/>
        <v/>
      </c>
      <c r="AN205" s="21">
        <f t="shared" si="73"/>
        <v>1260000</v>
      </c>
      <c r="AO205" s="21" t="str">
        <f t="shared" si="74"/>
        <v/>
      </c>
      <c r="AP205" s="21" t="str">
        <f t="shared" si="75"/>
        <v/>
      </c>
      <c r="AQ205" s="21" t="str">
        <f t="shared" si="76"/>
        <v/>
      </c>
      <c r="AR205" s="21"/>
      <c r="AS205" s="27"/>
      <c r="AT205" s="19"/>
    </row>
    <row r="206" spans="2:46" ht="30" hidden="1" customHeight="1" x14ac:dyDescent="0.25">
      <c r="B206" s="47" t="s">
        <v>452</v>
      </c>
      <c r="C206" s="48">
        <v>0</v>
      </c>
      <c r="D206" s="48">
        <v>1080000</v>
      </c>
      <c r="E206" s="48">
        <v>3147903014</v>
      </c>
      <c r="F206" s="47" t="s">
        <v>453</v>
      </c>
      <c r="K206" s="4" t="s">
        <v>64</v>
      </c>
      <c r="L206" s="26">
        <f t="shared" si="62"/>
        <v>1080000</v>
      </c>
      <c r="M206" s="15" t="str">
        <f t="shared" si="63"/>
        <v>Đúng</v>
      </c>
      <c r="N206" s="21" t="str">
        <f t="shared" si="65"/>
        <v/>
      </c>
      <c r="O206" s="21" t="str">
        <f t="shared" si="66"/>
        <v/>
      </c>
      <c r="P206" s="21"/>
      <c r="Q206" s="18">
        <f t="shared" si="64"/>
        <v>1080000</v>
      </c>
      <c r="R206" s="21" t="str">
        <f t="shared" si="67"/>
        <v/>
      </c>
      <c r="S206" s="21"/>
      <c r="T206" s="21"/>
      <c r="U206" s="21" t="str">
        <f t="shared" si="68"/>
        <v/>
      </c>
      <c r="V206" s="21"/>
      <c r="W206" s="21"/>
      <c r="X206" s="21"/>
      <c r="Y206" s="21"/>
      <c r="Z206" s="21"/>
      <c r="AA206" s="21"/>
      <c r="AB206" s="21"/>
      <c r="AC206" s="21"/>
      <c r="AD206" s="21"/>
      <c r="AE206" s="21"/>
      <c r="AF206" s="21"/>
      <c r="AG206" s="21"/>
      <c r="AH206" s="21" t="str">
        <f t="shared" si="69"/>
        <v/>
      </c>
      <c r="AI206" s="20"/>
      <c r="AJ206" s="21" t="str">
        <f t="shared" si="70"/>
        <v/>
      </c>
      <c r="AK206" s="26"/>
      <c r="AL206" s="21" t="str">
        <f t="shared" si="71"/>
        <v/>
      </c>
      <c r="AM206" s="21" t="str">
        <f t="shared" si="72"/>
        <v/>
      </c>
      <c r="AN206" s="21">
        <f t="shared" si="73"/>
        <v>1080000</v>
      </c>
      <c r="AO206" s="21" t="str">
        <f t="shared" si="74"/>
        <v/>
      </c>
      <c r="AP206" s="21" t="str">
        <f t="shared" si="75"/>
        <v/>
      </c>
      <c r="AQ206" s="21" t="str">
        <f t="shared" si="76"/>
        <v/>
      </c>
      <c r="AR206" s="21"/>
      <c r="AS206" s="27"/>
      <c r="AT206" s="19"/>
    </row>
    <row r="207" spans="2:46" ht="30" hidden="1" customHeight="1" x14ac:dyDescent="0.25">
      <c r="B207" s="47" t="s">
        <v>454</v>
      </c>
      <c r="C207" s="48">
        <v>0</v>
      </c>
      <c r="D207" s="48">
        <v>1080000</v>
      </c>
      <c r="E207" s="48">
        <v>3148983014</v>
      </c>
      <c r="F207" s="47" t="s">
        <v>455</v>
      </c>
      <c r="K207" s="4" t="s">
        <v>64</v>
      </c>
      <c r="L207" s="26">
        <f t="shared" si="62"/>
        <v>1080000</v>
      </c>
      <c r="M207" s="15" t="str">
        <f t="shared" si="63"/>
        <v>Đúng</v>
      </c>
      <c r="N207" s="21" t="str">
        <f t="shared" si="65"/>
        <v/>
      </c>
      <c r="O207" s="21" t="str">
        <f t="shared" si="66"/>
        <v/>
      </c>
      <c r="P207" s="21"/>
      <c r="Q207" s="18">
        <f t="shared" si="64"/>
        <v>1080000</v>
      </c>
      <c r="R207" s="21" t="str">
        <f t="shared" si="67"/>
        <v/>
      </c>
      <c r="S207" s="21"/>
      <c r="T207" s="21"/>
      <c r="U207" s="21" t="str">
        <f t="shared" si="68"/>
        <v/>
      </c>
      <c r="V207" s="21"/>
      <c r="W207" s="21"/>
      <c r="X207" s="21"/>
      <c r="Y207" s="21"/>
      <c r="Z207" s="21"/>
      <c r="AA207" s="21"/>
      <c r="AB207" s="21"/>
      <c r="AC207" s="21"/>
      <c r="AD207" s="21"/>
      <c r="AE207" s="21"/>
      <c r="AF207" s="21"/>
      <c r="AG207" s="21"/>
      <c r="AH207" s="21" t="str">
        <f t="shared" si="69"/>
        <v/>
      </c>
      <c r="AI207" s="20"/>
      <c r="AJ207" s="21" t="str">
        <f t="shared" si="70"/>
        <v/>
      </c>
      <c r="AK207" s="26"/>
      <c r="AL207" s="21" t="str">
        <f t="shared" si="71"/>
        <v/>
      </c>
      <c r="AM207" s="21" t="str">
        <f t="shared" si="72"/>
        <v/>
      </c>
      <c r="AN207" s="21">
        <f t="shared" si="73"/>
        <v>1080000</v>
      </c>
      <c r="AO207" s="21" t="str">
        <f t="shared" si="74"/>
        <v/>
      </c>
      <c r="AP207" s="21" t="str">
        <f t="shared" si="75"/>
        <v/>
      </c>
      <c r="AQ207" s="21" t="str">
        <f t="shared" si="76"/>
        <v/>
      </c>
      <c r="AR207" s="21"/>
      <c r="AS207" s="27"/>
      <c r="AT207" s="19"/>
    </row>
    <row r="208" spans="2:46" ht="30" hidden="1" customHeight="1" x14ac:dyDescent="0.25">
      <c r="B208" s="47" t="s">
        <v>456</v>
      </c>
      <c r="C208" s="48">
        <v>0</v>
      </c>
      <c r="D208" s="48">
        <v>200000</v>
      </c>
      <c r="E208" s="48">
        <v>3149183014</v>
      </c>
      <c r="F208" s="47" t="s">
        <v>457</v>
      </c>
      <c r="K208" s="4" t="s">
        <v>69</v>
      </c>
      <c r="L208" s="26">
        <f t="shared" si="62"/>
        <v>200000</v>
      </c>
      <c r="M208" s="15" t="str">
        <f t="shared" si="63"/>
        <v>Đúng</v>
      </c>
      <c r="N208" s="21" t="str">
        <f t="shared" si="65"/>
        <v/>
      </c>
      <c r="O208" s="21" t="str">
        <f t="shared" si="66"/>
        <v/>
      </c>
      <c r="P208" s="21"/>
      <c r="Q208" s="18">
        <f t="shared" si="64"/>
        <v>200000</v>
      </c>
      <c r="R208" s="21">
        <f t="shared" si="67"/>
        <v>200000</v>
      </c>
      <c r="S208" s="21"/>
      <c r="T208" s="21"/>
      <c r="U208" s="21" t="str">
        <f t="shared" si="68"/>
        <v/>
      </c>
      <c r="V208" s="21"/>
      <c r="W208" s="21"/>
      <c r="X208" s="21"/>
      <c r="Y208" s="21"/>
      <c r="Z208" s="21"/>
      <c r="AA208" s="21"/>
      <c r="AB208" s="21"/>
      <c r="AC208" s="21"/>
      <c r="AD208" s="21"/>
      <c r="AE208" s="21"/>
      <c r="AF208" s="21"/>
      <c r="AG208" s="21"/>
      <c r="AH208" s="21" t="str">
        <f t="shared" si="69"/>
        <v/>
      </c>
      <c r="AI208" s="20"/>
      <c r="AJ208" s="21" t="str">
        <f t="shared" si="70"/>
        <v/>
      </c>
      <c r="AK208" s="26"/>
      <c r="AL208" s="21" t="str">
        <f t="shared" si="71"/>
        <v/>
      </c>
      <c r="AM208" s="21" t="str">
        <f t="shared" si="72"/>
        <v/>
      </c>
      <c r="AN208" s="21" t="str">
        <f t="shared" si="73"/>
        <v/>
      </c>
      <c r="AO208" s="21" t="str">
        <f t="shared" si="74"/>
        <v/>
      </c>
      <c r="AP208" s="21" t="str">
        <f t="shared" si="75"/>
        <v/>
      </c>
      <c r="AQ208" s="21" t="str">
        <f t="shared" si="76"/>
        <v/>
      </c>
      <c r="AR208" s="21"/>
      <c r="AS208" s="27"/>
      <c r="AT208" s="19"/>
    </row>
    <row r="209" spans="2:46" ht="30" hidden="1" customHeight="1" x14ac:dyDescent="0.25">
      <c r="B209" s="47" t="s">
        <v>458</v>
      </c>
      <c r="C209" s="48">
        <v>0</v>
      </c>
      <c r="D209" s="48">
        <v>631800</v>
      </c>
      <c r="E209" s="48">
        <v>3149814814</v>
      </c>
      <c r="F209" s="47" t="s">
        <v>459</v>
      </c>
      <c r="K209" s="4" t="s">
        <v>493</v>
      </c>
      <c r="L209" s="26">
        <f t="shared" si="62"/>
        <v>631800</v>
      </c>
      <c r="M209" s="15" t="str">
        <f t="shared" si="63"/>
        <v>Đúng</v>
      </c>
      <c r="N209" s="21" t="str">
        <f t="shared" si="65"/>
        <v/>
      </c>
      <c r="O209" s="21" t="str">
        <f t="shared" si="66"/>
        <v/>
      </c>
      <c r="P209" s="21"/>
      <c r="Q209" s="18">
        <f t="shared" si="64"/>
        <v>631800</v>
      </c>
      <c r="R209" s="21" t="str">
        <f t="shared" si="67"/>
        <v/>
      </c>
      <c r="S209" s="21"/>
      <c r="T209" s="21"/>
      <c r="U209" s="21">
        <f t="shared" si="68"/>
        <v>631800</v>
      </c>
      <c r="V209" s="21"/>
      <c r="W209" s="21"/>
      <c r="X209" s="21"/>
      <c r="Y209" s="21"/>
      <c r="Z209" s="21"/>
      <c r="AA209" s="21"/>
      <c r="AB209" s="21"/>
      <c r="AC209" s="21"/>
      <c r="AD209" s="21"/>
      <c r="AE209" s="21"/>
      <c r="AF209" s="21"/>
      <c r="AG209" s="21"/>
      <c r="AH209" s="21" t="str">
        <f t="shared" si="69"/>
        <v/>
      </c>
      <c r="AI209" s="20"/>
      <c r="AJ209" s="21" t="str">
        <f t="shared" si="70"/>
        <v/>
      </c>
      <c r="AK209" s="26"/>
      <c r="AL209" s="21" t="str">
        <f t="shared" si="71"/>
        <v/>
      </c>
      <c r="AM209" s="21" t="str">
        <f t="shared" si="72"/>
        <v/>
      </c>
      <c r="AN209" s="21" t="str">
        <f t="shared" si="73"/>
        <v/>
      </c>
      <c r="AO209" s="21" t="str">
        <f t="shared" si="74"/>
        <v/>
      </c>
      <c r="AP209" s="21" t="str">
        <f t="shared" si="75"/>
        <v/>
      </c>
      <c r="AQ209" s="21" t="str">
        <f t="shared" si="76"/>
        <v/>
      </c>
      <c r="AR209" s="21"/>
      <c r="AS209" s="27"/>
      <c r="AT209" s="19"/>
    </row>
    <row r="210" spans="2:46" ht="30" hidden="1" customHeight="1" x14ac:dyDescent="0.25">
      <c r="B210" s="47" t="s">
        <v>460</v>
      </c>
      <c r="C210" s="48">
        <v>22000</v>
      </c>
      <c r="D210" s="48">
        <v>0</v>
      </c>
      <c r="E210" s="48">
        <v>3118992564</v>
      </c>
      <c r="F210" s="47" t="s">
        <v>461</v>
      </c>
      <c r="L210" s="26">
        <f t="shared" si="62"/>
        <v>0</v>
      </c>
      <c r="M210" s="15" t="str">
        <f t="shared" si="63"/>
        <v>Đúng</v>
      </c>
      <c r="N210" s="21" t="str">
        <f t="shared" si="65"/>
        <v/>
      </c>
      <c r="O210" s="21" t="str">
        <f t="shared" si="66"/>
        <v/>
      </c>
      <c r="P210" s="21"/>
      <c r="Q210" s="18">
        <f t="shared" si="64"/>
        <v>0</v>
      </c>
      <c r="R210" s="21" t="str">
        <f t="shared" si="67"/>
        <v/>
      </c>
      <c r="S210" s="21"/>
      <c r="T210" s="21"/>
      <c r="U210" s="21" t="str">
        <f t="shared" si="68"/>
        <v/>
      </c>
      <c r="V210" s="21"/>
      <c r="W210" s="21"/>
      <c r="X210" s="21"/>
      <c r="Y210" s="21"/>
      <c r="Z210" s="21"/>
      <c r="AA210" s="21"/>
      <c r="AB210" s="21"/>
      <c r="AC210" s="21"/>
      <c r="AD210" s="21"/>
      <c r="AE210" s="21"/>
      <c r="AF210" s="21"/>
      <c r="AG210" s="21"/>
      <c r="AH210" s="21" t="str">
        <f t="shared" si="69"/>
        <v/>
      </c>
      <c r="AI210" s="20"/>
      <c r="AJ210" s="21" t="str">
        <f t="shared" si="70"/>
        <v/>
      </c>
      <c r="AK210" s="26"/>
      <c r="AL210" s="21" t="str">
        <f t="shared" si="71"/>
        <v/>
      </c>
      <c r="AM210" s="21" t="str">
        <f t="shared" si="72"/>
        <v/>
      </c>
      <c r="AN210" s="21" t="str">
        <f t="shared" si="73"/>
        <v/>
      </c>
      <c r="AO210" s="21" t="str">
        <f t="shared" si="74"/>
        <v/>
      </c>
      <c r="AP210" s="21" t="str">
        <f t="shared" si="75"/>
        <v/>
      </c>
      <c r="AQ210" s="21" t="str">
        <f t="shared" si="76"/>
        <v/>
      </c>
      <c r="AR210" s="21"/>
      <c r="AS210" s="27"/>
      <c r="AT210" s="19"/>
    </row>
    <row r="211" spans="2:46" ht="30" hidden="1" customHeight="1" x14ac:dyDescent="0.25">
      <c r="B211" s="47" t="s">
        <v>460</v>
      </c>
      <c r="C211" s="48">
        <v>30800250</v>
      </c>
      <c r="D211" s="48">
        <v>0</v>
      </c>
      <c r="E211" s="48">
        <v>3119014564</v>
      </c>
      <c r="F211" s="47" t="s">
        <v>461</v>
      </c>
      <c r="L211" s="26">
        <f t="shared" si="62"/>
        <v>0</v>
      </c>
      <c r="M211" s="15" t="str">
        <f t="shared" si="63"/>
        <v>Đúng</v>
      </c>
      <c r="N211" s="21" t="str">
        <f t="shared" si="65"/>
        <v/>
      </c>
      <c r="O211" s="21" t="str">
        <f t="shared" si="66"/>
        <v/>
      </c>
      <c r="P211" s="21"/>
      <c r="Q211" s="18">
        <f t="shared" si="64"/>
        <v>0</v>
      </c>
      <c r="R211" s="21" t="str">
        <f t="shared" si="67"/>
        <v/>
      </c>
      <c r="S211" s="21"/>
      <c r="T211" s="21"/>
      <c r="U211" s="21" t="str">
        <f t="shared" si="68"/>
        <v/>
      </c>
      <c r="V211" s="21"/>
      <c r="W211" s="21"/>
      <c r="X211" s="21"/>
      <c r="Y211" s="21"/>
      <c r="Z211" s="21"/>
      <c r="AA211" s="21"/>
      <c r="AB211" s="21"/>
      <c r="AC211" s="21"/>
      <c r="AD211" s="21"/>
      <c r="AE211" s="21"/>
      <c r="AF211" s="21"/>
      <c r="AG211" s="21"/>
      <c r="AH211" s="21" t="str">
        <f t="shared" si="69"/>
        <v/>
      </c>
      <c r="AI211" s="20"/>
      <c r="AJ211" s="21" t="str">
        <f t="shared" si="70"/>
        <v/>
      </c>
      <c r="AK211" s="26"/>
      <c r="AL211" s="21" t="str">
        <f t="shared" si="71"/>
        <v/>
      </c>
      <c r="AM211" s="21" t="str">
        <f t="shared" si="72"/>
        <v/>
      </c>
      <c r="AN211" s="21" t="str">
        <f t="shared" si="73"/>
        <v/>
      </c>
      <c r="AO211" s="21" t="str">
        <f t="shared" si="74"/>
        <v/>
      </c>
      <c r="AP211" s="21" t="str">
        <f t="shared" si="75"/>
        <v/>
      </c>
      <c r="AQ211" s="21" t="str">
        <f t="shared" si="76"/>
        <v/>
      </c>
      <c r="AR211" s="21"/>
      <c r="AS211" s="27"/>
      <c r="AT211" s="19"/>
    </row>
    <row r="212" spans="2:46" ht="30" hidden="1" customHeight="1" x14ac:dyDescent="0.25">
      <c r="B212" s="47" t="s">
        <v>462</v>
      </c>
      <c r="C212" s="48">
        <v>0</v>
      </c>
      <c r="D212" s="48">
        <v>200000</v>
      </c>
      <c r="E212" s="48">
        <v>3119192564</v>
      </c>
      <c r="F212" s="47" t="s">
        <v>463</v>
      </c>
      <c r="K212" s="4" t="s">
        <v>69</v>
      </c>
      <c r="L212" s="26">
        <f t="shared" si="62"/>
        <v>200000</v>
      </c>
      <c r="M212" s="15" t="str">
        <f t="shared" si="63"/>
        <v>Đúng</v>
      </c>
      <c r="N212" s="21" t="str">
        <f t="shared" si="65"/>
        <v/>
      </c>
      <c r="O212" s="21" t="str">
        <f t="shared" si="66"/>
        <v/>
      </c>
      <c r="P212" s="21"/>
      <c r="Q212" s="18">
        <f t="shared" si="64"/>
        <v>200000</v>
      </c>
      <c r="R212" s="21">
        <f t="shared" si="67"/>
        <v>200000</v>
      </c>
      <c r="S212" s="21"/>
      <c r="T212" s="21"/>
      <c r="U212" s="21" t="str">
        <f t="shared" si="68"/>
        <v/>
      </c>
      <c r="V212" s="21"/>
      <c r="W212" s="21"/>
      <c r="X212" s="21"/>
      <c r="Y212" s="21"/>
      <c r="Z212" s="21"/>
      <c r="AA212" s="21"/>
      <c r="AB212" s="21"/>
      <c r="AC212" s="21"/>
      <c r="AD212" s="21"/>
      <c r="AE212" s="21"/>
      <c r="AF212" s="21"/>
      <c r="AG212" s="21"/>
      <c r="AH212" s="21" t="str">
        <f t="shared" si="69"/>
        <v/>
      </c>
      <c r="AI212" s="20"/>
      <c r="AJ212" s="21" t="str">
        <f t="shared" si="70"/>
        <v/>
      </c>
      <c r="AK212" s="26"/>
      <c r="AL212" s="21" t="str">
        <f t="shared" si="71"/>
        <v/>
      </c>
      <c r="AM212" s="21" t="str">
        <f t="shared" si="72"/>
        <v/>
      </c>
      <c r="AN212" s="21" t="str">
        <f t="shared" si="73"/>
        <v/>
      </c>
      <c r="AO212" s="21" t="str">
        <f t="shared" si="74"/>
        <v/>
      </c>
      <c r="AP212" s="21" t="str">
        <f t="shared" si="75"/>
        <v/>
      </c>
      <c r="AQ212" s="21" t="str">
        <f t="shared" si="76"/>
        <v/>
      </c>
      <c r="AR212" s="21"/>
      <c r="AS212" s="27"/>
      <c r="AT212" s="19"/>
    </row>
    <row r="213" spans="2:46" ht="30" customHeight="1" x14ac:dyDescent="0.25">
      <c r="B213" s="47" t="s">
        <v>464</v>
      </c>
      <c r="C213" s="48">
        <v>0</v>
      </c>
      <c r="D213" s="48">
        <v>9280000</v>
      </c>
      <c r="E213" s="48">
        <v>3128472564</v>
      </c>
      <c r="F213" s="47" t="s">
        <v>465</v>
      </c>
      <c r="K213" s="4" t="s">
        <v>67</v>
      </c>
      <c r="L213" s="26">
        <f t="shared" si="62"/>
        <v>9280000</v>
      </c>
      <c r="M213" s="15" t="str">
        <f t="shared" si="63"/>
        <v>Đúng</v>
      </c>
      <c r="N213" s="21">
        <f t="shared" si="65"/>
        <v>9280000</v>
      </c>
      <c r="O213" s="21" t="str">
        <f t="shared" si="66"/>
        <v/>
      </c>
      <c r="P213" s="21"/>
      <c r="Q213" s="18">
        <f t="shared" si="64"/>
        <v>9280000</v>
      </c>
      <c r="R213" s="21" t="str">
        <f t="shared" si="67"/>
        <v/>
      </c>
      <c r="S213" s="21"/>
      <c r="T213" s="21"/>
      <c r="U213" s="21" t="str">
        <f t="shared" si="68"/>
        <v/>
      </c>
      <c r="V213" s="21"/>
      <c r="W213" s="21"/>
      <c r="X213" s="21"/>
      <c r="Y213" s="21"/>
      <c r="Z213" s="21"/>
      <c r="AA213" s="21"/>
      <c r="AB213" s="21"/>
      <c r="AC213" s="21"/>
      <c r="AD213" s="21"/>
      <c r="AE213" s="21"/>
      <c r="AF213" s="21"/>
      <c r="AG213" s="21"/>
      <c r="AH213" s="21" t="str">
        <f t="shared" si="69"/>
        <v/>
      </c>
      <c r="AI213" s="20"/>
      <c r="AJ213" s="21" t="str">
        <f t="shared" si="70"/>
        <v/>
      </c>
      <c r="AK213" s="26"/>
      <c r="AL213" s="21" t="str">
        <f t="shared" si="71"/>
        <v/>
      </c>
      <c r="AM213" s="21" t="str">
        <f t="shared" si="72"/>
        <v/>
      </c>
      <c r="AN213" s="21" t="str">
        <f t="shared" si="73"/>
        <v/>
      </c>
      <c r="AO213" s="21" t="str">
        <f t="shared" si="74"/>
        <v/>
      </c>
      <c r="AP213" s="21" t="str">
        <f t="shared" si="75"/>
        <v/>
      </c>
      <c r="AQ213" s="21" t="str">
        <f t="shared" si="76"/>
        <v/>
      </c>
      <c r="AR213" s="21"/>
      <c r="AS213" s="27"/>
      <c r="AT213" s="19"/>
    </row>
    <row r="214" spans="2:46" ht="30" hidden="1" customHeight="1" x14ac:dyDescent="0.25">
      <c r="B214" s="47" t="s">
        <v>466</v>
      </c>
      <c r="C214" s="48">
        <v>0</v>
      </c>
      <c r="D214" s="48">
        <v>200000</v>
      </c>
      <c r="E214" s="48">
        <v>3128672564</v>
      </c>
      <c r="F214" s="47" t="s">
        <v>467</v>
      </c>
      <c r="K214" s="4" t="s">
        <v>69</v>
      </c>
      <c r="L214" s="26">
        <f t="shared" ref="L214:L217" si="77">D214</f>
        <v>200000</v>
      </c>
      <c r="M214" s="15" t="str">
        <f t="shared" ref="M214:M217" si="78">IF(Q214=L214, "Đúng", "Sai")</f>
        <v>Đúng</v>
      </c>
      <c r="N214" s="21" t="str">
        <f t="shared" si="65"/>
        <v/>
      </c>
      <c r="O214" s="21" t="str">
        <f t="shared" si="66"/>
        <v/>
      </c>
      <c r="P214" s="21"/>
      <c r="Q214" s="18">
        <f t="shared" ref="Q214:Q217" si="79">SUM(R214:AQ214)+SUM(N214:P214)</f>
        <v>200000</v>
      </c>
      <c r="R214" s="21">
        <f t="shared" si="67"/>
        <v>200000</v>
      </c>
      <c r="S214" s="21"/>
      <c r="T214" s="21"/>
      <c r="U214" s="21" t="str">
        <f t="shared" si="68"/>
        <v/>
      </c>
      <c r="V214" s="21"/>
      <c r="W214" s="21"/>
      <c r="X214" s="21"/>
      <c r="Y214" s="21"/>
      <c r="Z214" s="21"/>
      <c r="AA214" s="21"/>
      <c r="AB214" s="21"/>
      <c r="AC214" s="21"/>
      <c r="AD214" s="21"/>
      <c r="AE214" s="21"/>
      <c r="AF214" s="21"/>
      <c r="AG214" s="21"/>
      <c r="AH214" s="21" t="str">
        <f t="shared" si="69"/>
        <v/>
      </c>
      <c r="AI214" s="20"/>
      <c r="AJ214" s="21" t="str">
        <f t="shared" si="70"/>
        <v/>
      </c>
      <c r="AK214" s="26"/>
      <c r="AL214" s="21" t="str">
        <f t="shared" si="71"/>
        <v/>
      </c>
      <c r="AM214" s="21" t="str">
        <f t="shared" si="72"/>
        <v/>
      </c>
      <c r="AN214" s="21" t="str">
        <f t="shared" si="73"/>
        <v/>
      </c>
      <c r="AO214" s="21" t="str">
        <f t="shared" si="74"/>
        <v/>
      </c>
      <c r="AP214" s="21" t="str">
        <f t="shared" si="75"/>
        <v/>
      </c>
      <c r="AQ214" s="21" t="str">
        <f t="shared" si="76"/>
        <v/>
      </c>
      <c r="AR214" s="21"/>
      <c r="AS214" s="27"/>
      <c r="AT214" s="19"/>
    </row>
    <row r="215" spans="2:46" ht="30" hidden="1" customHeight="1" x14ac:dyDescent="0.25">
      <c r="B215" s="47" t="s">
        <v>468</v>
      </c>
      <c r="C215" s="48">
        <v>0</v>
      </c>
      <c r="D215" s="48">
        <v>3825000</v>
      </c>
      <c r="E215" s="48">
        <v>3132497564</v>
      </c>
      <c r="F215" s="47" t="s">
        <v>469</v>
      </c>
      <c r="K215" s="4" t="s">
        <v>492</v>
      </c>
      <c r="L215" s="26">
        <f t="shared" si="77"/>
        <v>3825000</v>
      </c>
      <c r="M215" s="15" t="str">
        <f t="shared" si="78"/>
        <v>Sai</v>
      </c>
      <c r="N215" s="21" t="str">
        <f t="shared" si="65"/>
        <v/>
      </c>
      <c r="O215" s="21" t="str">
        <f t="shared" si="66"/>
        <v/>
      </c>
      <c r="P215" s="21"/>
      <c r="Q215" s="18">
        <f t="shared" si="79"/>
        <v>0</v>
      </c>
      <c r="R215" s="21" t="str">
        <f t="shared" si="67"/>
        <v/>
      </c>
      <c r="S215" s="21"/>
      <c r="T215" s="21"/>
      <c r="U215" s="21" t="str">
        <f t="shared" si="68"/>
        <v/>
      </c>
      <c r="V215" s="21"/>
      <c r="W215" s="21"/>
      <c r="X215" s="21"/>
      <c r="Y215" s="21"/>
      <c r="Z215" s="21"/>
      <c r="AA215" s="21"/>
      <c r="AB215" s="21"/>
      <c r="AC215" s="21"/>
      <c r="AD215" s="21"/>
      <c r="AE215" s="21"/>
      <c r="AF215" s="21"/>
      <c r="AG215" s="21"/>
      <c r="AH215" s="21" t="str">
        <f t="shared" si="69"/>
        <v/>
      </c>
      <c r="AI215" s="20"/>
      <c r="AJ215" s="21" t="str">
        <f t="shared" si="70"/>
        <v/>
      </c>
      <c r="AK215" s="26"/>
      <c r="AL215" s="21" t="str">
        <f t="shared" si="71"/>
        <v/>
      </c>
      <c r="AM215" s="21" t="str">
        <f t="shared" si="72"/>
        <v/>
      </c>
      <c r="AN215" s="21" t="str">
        <f t="shared" si="73"/>
        <v/>
      </c>
      <c r="AO215" s="21" t="str">
        <f t="shared" si="74"/>
        <v/>
      </c>
      <c r="AP215" s="21" t="str">
        <f t="shared" si="75"/>
        <v/>
      </c>
      <c r="AQ215" s="21" t="str">
        <f t="shared" si="76"/>
        <v/>
      </c>
      <c r="AR215" s="21"/>
      <c r="AS215" s="27"/>
      <c r="AT215" s="19"/>
    </row>
    <row r="216" spans="2:46" ht="30" hidden="1" customHeight="1" x14ac:dyDescent="0.25">
      <c r="B216" s="47" t="s">
        <v>470</v>
      </c>
      <c r="C216" s="48">
        <v>0</v>
      </c>
      <c r="D216" s="48">
        <v>2700000</v>
      </c>
      <c r="E216" s="48">
        <v>3135197564</v>
      </c>
      <c r="F216" s="47" t="s">
        <v>471</v>
      </c>
      <c r="K216" s="4" t="s">
        <v>64</v>
      </c>
      <c r="L216" s="26">
        <f t="shared" si="77"/>
        <v>2700000</v>
      </c>
      <c r="M216" s="15" t="str">
        <f t="shared" si="78"/>
        <v>Đúng</v>
      </c>
      <c r="N216" s="21" t="str">
        <f t="shared" si="65"/>
        <v/>
      </c>
      <c r="O216" s="21" t="str">
        <f t="shared" si="66"/>
        <v/>
      </c>
      <c r="P216" s="21"/>
      <c r="Q216" s="18">
        <f t="shared" si="79"/>
        <v>2700000</v>
      </c>
      <c r="R216" s="21" t="str">
        <f t="shared" si="67"/>
        <v/>
      </c>
      <c r="S216" s="21"/>
      <c r="T216" s="21"/>
      <c r="U216" s="21" t="str">
        <f t="shared" si="68"/>
        <v/>
      </c>
      <c r="V216" s="21"/>
      <c r="W216" s="21"/>
      <c r="X216" s="21"/>
      <c r="Y216" s="21"/>
      <c r="Z216" s="21"/>
      <c r="AA216" s="21"/>
      <c r="AB216" s="21"/>
      <c r="AC216" s="21"/>
      <c r="AD216" s="21"/>
      <c r="AE216" s="21"/>
      <c r="AF216" s="21"/>
      <c r="AG216" s="21"/>
      <c r="AH216" s="21" t="str">
        <f t="shared" si="69"/>
        <v/>
      </c>
      <c r="AI216" s="20"/>
      <c r="AJ216" s="21" t="str">
        <f t="shared" si="70"/>
        <v/>
      </c>
      <c r="AK216" s="26"/>
      <c r="AL216" s="21" t="str">
        <f t="shared" si="71"/>
        <v/>
      </c>
      <c r="AM216" s="21" t="str">
        <f t="shared" si="72"/>
        <v/>
      </c>
      <c r="AN216" s="21">
        <f t="shared" si="73"/>
        <v>2700000</v>
      </c>
      <c r="AO216" s="21" t="str">
        <f t="shared" si="74"/>
        <v/>
      </c>
      <c r="AP216" s="21" t="str">
        <f t="shared" si="75"/>
        <v/>
      </c>
      <c r="AQ216" s="21" t="str">
        <f t="shared" si="76"/>
        <v/>
      </c>
      <c r="AR216" s="21"/>
      <c r="AS216" s="27"/>
      <c r="AT216" s="19"/>
    </row>
    <row r="217" spans="2:46" ht="30" hidden="1" customHeight="1" x14ac:dyDescent="0.25">
      <c r="B217" s="47" t="s">
        <v>472</v>
      </c>
      <c r="C217" s="48">
        <v>0</v>
      </c>
      <c r="D217" s="48">
        <v>3480000</v>
      </c>
      <c r="E217" s="48">
        <v>3138677564</v>
      </c>
      <c r="F217" s="47" t="s">
        <v>473</v>
      </c>
      <c r="K217" s="4" t="s">
        <v>64</v>
      </c>
      <c r="L217" s="26">
        <f t="shared" si="77"/>
        <v>3480000</v>
      </c>
      <c r="M217" s="15" t="str">
        <f t="shared" si="78"/>
        <v>Đúng</v>
      </c>
      <c r="N217" s="21" t="str">
        <f t="shared" si="65"/>
        <v/>
      </c>
      <c r="O217" s="21" t="str">
        <f t="shared" si="66"/>
        <v/>
      </c>
      <c r="P217" s="21"/>
      <c r="Q217" s="18">
        <f t="shared" si="79"/>
        <v>3480000</v>
      </c>
      <c r="R217" s="21" t="str">
        <f t="shared" si="67"/>
        <v/>
      </c>
      <c r="S217" s="21"/>
      <c r="T217" s="21"/>
      <c r="U217" s="21" t="str">
        <f t="shared" si="68"/>
        <v/>
      </c>
      <c r="V217" s="21"/>
      <c r="W217" s="21"/>
      <c r="X217" s="21"/>
      <c r="Y217" s="21"/>
      <c r="Z217" s="21"/>
      <c r="AA217" s="21"/>
      <c r="AB217" s="21"/>
      <c r="AC217" s="21"/>
      <c r="AD217" s="21"/>
      <c r="AE217" s="21"/>
      <c r="AF217" s="21"/>
      <c r="AG217" s="21"/>
      <c r="AH217" s="21" t="str">
        <f t="shared" si="69"/>
        <v/>
      </c>
      <c r="AI217" s="20"/>
      <c r="AJ217" s="21" t="str">
        <f t="shared" si="70"/>
        <v/>
      </c>
      <c r="AK217" s="26"/>
      <c r="AL217" s="21" t="str">
        <f t="shared" si="71"/>
        <v/>
      </c>
      <c r="AM217" s="21" t="str">
        <f t="shared" si="72"/>
        <v/>
      </c>
      <c r="AN217" s="21">
        <f t="shared" si="73"/>
        <v>3480000</v>
      </c>
      <c r="AO217" s="21" t="str">
        <f t="shared" si="74"/>
        <v/>
      </c>
      <c r="AP217" s="21" t="str">
        <f t="shared" si="75"/>
        <v/>
      </c>
      <c r="AQ217" s="21" t="str">
        <f t="shared" si="76"/>
        <v/>
      </c>
      <c r="AR217" s="21"/>
      <c r="AS217" s="27"/>
      <c r="AT217" s="19"/>
    </row>
    <row r="218" spans="2:46" ht="30" customHeight="1" x14ac:dyDescent="0.25"/>
    <row r="219" spans="2:46" ht="30" customHeight="1" x14ac:dyDescent="0.25"/>
    <row r="220" spans="2:46" ht="30" customHeight="1" x14ac:dyDescent="0.25"/>
    <row r="221" spans="2:46" ht="30" customHeight="1" x14ac:dyDescent="0.25"/>
    <row r="222" spans="2:46" ht="30" customHeight="1" x14ac:dyDescent="0.25"/>
    <row r="223" spans="2:46" ht="30" customHeight="1" x14ac:dyDescent="0.25"/>
    <row r="224" spans="2:46" ht="30" customHeight="1" x14ac:dyDescent="0.25"/>
    <row r="225" ht="30" customHeight="1" x14ac:dyDescent="0.25"/>
    <row r="226" ht="30" customHeight="1" x14ac:dyDescent="0.25"/>
    <row r="227" ht="30" customHeight="1" x14ac:dyDescent="0.25"/>
    <row r="228" ht="30" customHeight="1" x14ac:dyDescent="0.25"/>
    <row r="229" ht="30" customHeight="1" x14ac:dyDescent="0.25"/>
    <row r="230" ht="30" customHeight="1" x14ac:dyDescent="0.25"/>
    <row r="231" ht="30" customHeight="1" x14ac:dyDescent="0.25"/>
    <row r="232" ht="30" customHeight="1" x14ac:dyDescent="0.25"/>
    <row r="233" ht="30" customHeight="1" x14ac:dyDescent="0.25"/>
    <row r="234" ht="30" customHeight="1" x14ac:dyDescent="0.25"/>
    <row r="235" ht="30" customHeight="1" x14ac:dyDescent="0.25"/>
    <row r="236" ht="30" customHeight="1" x14ac:dyDescent="0.25"/>
    <row r="237" ht="30" customHeight="1" x14ac:dyDescent="0.25"/>
    <row r="238" ht="30" customHeight="1" x14ac:dyDescent="0.25"/>
    <row r="239" ht="30" customHeight="1" x14ac:dyDescent="0.25"/>
    <row r="240" ht="30" customHeight="1" x14ac:dyDescent="0.25"/>
    <row r="241" ht="30" customHeight="1" x14ac:dyDescent="0.25"/>
    <row r="242" ht="30" customHeight="1" x14ac:dyDescent="0.25"/>
    <row r="243" ht="30" customHeight="1" x14ac:dyDescent="0.25"/>
    <row r="244" ht="30" customHeight="1" x14ac:dyDescent="0.25"/>
    <row r="245" ht="30" customHeight="1" x14ac:dyDescent="0.25"/>
    <row r="246" ht="30" customHeight="1" x14ac:dyDescent="0.25"/>
    <row r="247" ht="30" customHeight="1" x14ac:dyDescent="0.25"/>
    <row r="248" ht="30" customHeight="1" x14ac:dyDescent="0.25"/>
    <row r="249" ht="30" customHeight="1" x14ac:dyDescent="0.25"/>
    <row r="250" ht="30" customHeight="1" x14ac:dyDescent="0.25"/>
    <row r="251" ht="30" customHeight="1" x14ac:dyDescent="0.25"/>
    <row r="252" ht="30" customHeight="1" x14ac:dyDescent="0.25"/>
    <row r="253" ht="30" customHeight="1" x14ac:dyDescent="0.25"/>
    <row r="254" ht="30" customHeight="1" x14ac:dyDescent="0.25"/>
    <row r="255" ht="30" customHeight="1" x14ac:dyDescent="0.25"/>
    <row r="256" ht="30" customHeight="1" x14ac:dyDescent="0.25"/>
    <row r="257" ht="30" customHeight="1" x14ac:dyDescent="0.25"/>
    <row r="258" ht="30" customHeight="1" x14ac:dyDescent="0.25"/>
    <row r="259" ht="30" customHeight="1" x14ac:dyDescent="0.25"/>
    <row r="260" ht="30" customHeight="1" x14ac:dyDescent="0.25"/>
    <row r="261" ht="30" customHeight="1" x14ac:dyDescent="0.25"/>
    <row r="262" ht="30" customHeight="1" x14ac:dyDescent="0.25"/>
    <row r="263" ht="30" customHeight="1" x14ac:dyDescent="0.25"/>
    <row r="264" ht="30" customHeight="1" x14ac:dyDescent="0.25"/>
    <row r="265" ht="30" customHeight="1" x14ac:dyDescent="0.25"/>
    <row r="266" ht="30" customHeight="1" x14ac:dyDescent="0.25"/>
    <row r="267" ht="30" customHeight="1" x14ac:dyDescent="0.25"/>
    <row r="268" ht="30" customHeight="1" x14ac:dyDescent="0.25"/>
    <row r="269" ht="30" customHeight="1" x14ac:dyDescent="0.25"/>
    <row r="270" ht="30" customHeight="1" x14ac:dyDescent="0.25"/>
    <row r="271" ht="30" customHeight="1" x14ac:dyDescent="0.25"/>
    <row r="272" ht="30" customHeight="1" x14ac:dyDescent="0.25"/>
    <row r="273" ht="30" customHeight="1" x14ac:dyDescent="0.25"/>
    <row r="274" ht="30" customHeight="1" x14ac:dyDescent="0.25"/>
    <row r="275" ht="30" customHeight="1" x14ac:dyDescent="0.25"/>
    <row r="276" ht="30" customHeight="1" x14ac:dyDescent="0.25"/>
    <row r="277" ht="30" customHeight="1" x14ac:dyDescent="0.25"/>
    <row r="278" ht="30" customHeight="1" x14ac:dyDescent="0.25"/>
    <row r="279" ht="30" customHeight="1" x14ac:dyDescent="0.25"/>
    <row r="280" ht="30" customHeight="1" x14ac:dyDescent="0.25"/>
    <row r="281" ht="30" customHeight="1" x14ac:dyDescent="0.25"/>
    <row r="282" ht="30" customHeight="1" x14ac:dyDescent="0.25"/>
    <row r="283" ht="30" customHeight="1" x14ac:dyDescent="0.25"/>
    <row r="284" ht="30" customHeight="1" x14ac:dyDescent="0.25"/>
    <row r="285" ht="30" customHeight="1" x14ac:dyDescent="0.25"/>
    <row r="286" ht="30" customHeight="1" x14ac:dyDescent="0.25"/>
    <row r="287" ht="30" customHeight="1" x14ac:dyDescent="0.25"/>
    <row r="288" ht="30" customHeight="1" x14ac:dyDescent="0.25"/>
    <row r="289" ht="30" customHeight="1" x14ac:dyDescent="0.25"/>
    <row r="290" ht="30" customHeight="1" x14ac:dyDescent="0.25"/>
    <row r="291" ht="30" customHeight="1" x14ac:dyDescent="0.25"/>
    <row r="292" ht="30" customHeight="1" x14ac:dyDescent="0.25"/>
    <row r="293" ht="30" customHeight="1" x14ac:dyDescent="0.25"/>
    <row r="294" ht="30" customHeight="1" x14ac:dyDescent="0.25"/>
    <row r="295" ht="30" customHeight="1" x14ac:dyDescent="0.25"/>
    <row r="296" ht="30" customHeight="1" x14ac:dyDescent="0.25"/>
    <row r="297" ht="30" customHeight="1" x14ac:dyDescent="0.25"/>
    <row r="298" ht="30" customHeight="1" x14ac:dyDescent="0.25"/>
    <row r="299" ht="30" customHeight="1" x14ac:dyDescent="0.25"/>
    <row r="300" ht="30" customHeight="1" x14ac:dyDescent="0.25"/>
    <row r="301" ht="30" customHeight="1" x14ac:dyDescent="0.25"/>
    <row r="302" ht="30" customHeight="1" x14ac:dyDescent="0.25"/>
    <row r="303" ht="30" customHeight="1" x14ac:dyDescent="0.25"/>
    <row r="304" ht="30" customHeight="1" x14ac:dyDescent="0.25"/>
    <row r="305" ht="30" customHeight="1" x14ac:dyDescent="0.25"/>
    <row r="306" ht="30" customHeight="1" x14ac:dyDescent="0.25"/>
    <row r="307" ht="30" customHeight="1" x14ac:dyDescent="0.25"/>
    <row r="308" ht="30" customHeight="1" x14ac:dyDescent="0.25"/>
    <row r="309" ht="30" customHeight="1" x14ac:dyDescent="0.25"/>
    <row r="310" ht="30" customHeight="1" x14ac:dyDescent="0.25"/>
    <row r="311" ht="30" customHeight="1" x14ac:dyDescent="0.25"/>
    <row r="312" ht="30" customHeight="1" x14ac:dyDescent="0.25"/>
    <row r="313" ht="30" customHeight="1" x14ac:dyDescent="0.25"/>
    <row r="314" ht="30" customHeight="1" x14ac:dyDescent="0.25"/>
    <row r="315" ht="30" customHeight="1" x14ac:dyDescent="0.25"/>
    <row r="316" ht="30" customHeight="1" x14ac:dyDescent="0.25"/>
    <row r="317" ht="30" customHeight="1" x14ac:dyDescent="0.25"/>
    <row r="318" ht="30" customHeight="1" x14ac:dyDescent="0.25"/>
    <row r="319" ht="30" customHeight="1" x14ac:dyDescent="0.25"/>
    <row r="320" ht="30" customHeight="1" x14ac:dyDescent="0.25"/>
    <row r="321" ht="30" customHeight="1" x14ac:dyDescent="0.25"/>
    <row r="322" ht="30" customHeight="1" x14ac:dyDescent="0.25"/>
    <row r="323" ht="30" customHeight="1" x14ac:dyDescent="0.25"/>
    <row r="324" ht="30" customHeight="1" x14ac:dyDescent="0.25"/>
    <row r="325" ht="30" customHeight="1" x14ac:dyDescent="0.25"/>
    <row r="326" ht="30" customHeight="1" x14ac:dyDescent="0.25"/>
    <row r="327" ht="30" customHeight="1" x14ac:dyDescent="0.25"/>
    <row r="328" ht="30" customHeight="1" x14ac:dyDescent="0.25"/>
    <row r="329" ht="30" customHeight="1" x14ac:dyDescent="0.25"/>
    <row r="330" ht="30" customHeight="1" x14ac:dyDescent="0.25"/>
    <row r="331" ht="30" customHeight="1" x14ac:dyDescent="0.25"/>
    <row r="332" ht="30" customHeight="1" x14ac:dyDescent="0.25"/>
    <row r="333" ht="30" customHeight="1" x14ac:dyDescent="0.25"/>
    <row r="334" ht="30" customHeight="1" x14ac:dyDescent="0.25"/>
    <row r="335" ht="30" customHeight="1" x14ac:dyDescent="0.25"/>
    <row r="336" ht="30" customHeight="1" x14ac:dyDescent="0.25"/>
    <row r="337" ht="30" customHeight="1" x14ac:dyDescent="0.25"/>
    <row r="338" ht="30" customHeight="1" x14ac:dyDescent="0.25"/>
    <row r="339" ht="30" customHeight="1" x14ac:dyDescent="0.25"/>
    <row r="340" ht="30" customHeight="1" x14ac:dyDescent="0.25"/>
    <row r="341" ht="30" customHeight="1" x14ac:dyDescent="0.25"/>
    <row r="342" ht="30" customHeight="1" x14ac:dyDescent="0.25"/>
    <row r="343" ht="30" customHeight="1" x14ac:dyDescent="0.25"/>
    <row r="344" ht="30" customHeight="1" x14ac:dyDescent="0.25"/>
    <row r="345" ht="30" customHeight="1" x14ac:dyDescent="0.25"/>
    <row r="346" ht="30" customHeight="1" x14ac:dyDescent="0.25"/>
    <row r="347" ht="30" customHeight="1" x14ac:dyDescent="0.25"/>
    <row r="348" ht="30" customHeight="1" x14ac:dyDescent="0.25"/>
    <row r="349" ht="30" customHeight="1" x14ac:dyDescent="0.25"/>
    <row r="350" ht="30" customHeight="1" x14ac:dyDescent="0.25"/>
    <row r="351" ht="30" customHeight="1" x14ac:dyDescent="0.25"/>
    <row r="352" ht="30" customHeight="1" x14ac:dyDescent="0.25"/>
    <row r="353" ht="30" customHeight="1" x14ac:dyDescent="0.25"/>
    <row r="354" ht="30" customHeight="1" x14ac:dyDescent="0.25"/>
    <row r="355" ht="30" customHeight="1" x14ac:dyDescent="0.25"/>
    <row r="356" ht="30" customHeight="1" x14ac:dyDescent="0.25"/>
    <row r="357" ht="30" customHeight="1" x14ac:dyDescent="0.25"/>
    <row r="358" ht="30" customHeight="1" x14ac:dyDescent="0.25"/>
    <row r="359" ht="30" customHeight="1" x14ac:dyDescent="0.25"/>
    <row r="360" ht="30" customHeight="1" x14ac:dyDescent="0.25"/>
    <row r="361" ht="30" customHeight="1" x14ac:dyDescent="0.25"/>
    <row r="362" ht="30" customHeight="1" x14ac:dyDescent="0.25"/>
    <row r="363" ht="30" customHeight="1" x14ac:dyDescent="0.25"/>
    <row r="364" ht="30" customHeight="1" x14ac:dyDescent="0.25"/>
    <row r="365" ht="30" customHeight="1" x14ac:dyDescent="0.25"/>
    <row r="366" ht="30" customHeight="1" x14ac:dyDescent="0.25"/>
    <row r="367" ht="30" customHeight="1" x14ac:dyDescent="0.25"/>
    <row r="368" ht="30" customHeight="1" x14ac:dyDescent="0.25"/>
    <row r="369" ht="30" customHeight="1" x14ac:dyDescent="0.25"/>
    <row r="370" ht="30" customHeight="1" x14ac:dyDescent="0.25"/>
    <row r="371" ht="30" customHeight="1" x14ac:dyDescent="0.25"/>
    <row r="372" ht="30" customHeight="1" x14ac:dyDescent="0.25"/>
    <row r="373" ht="30" customHeight="1" x14ac:dyDescent="0.25"/>
    <row r="374" ht="30" customHeight="1" x14ac:dyDescent="0.25"/>
    <row r="375" ht="30" customHeight="1" x14ac:dyDescent="0.25"/>
    <row r="376" ht="30" customHeight="1" x14ac:dyDescent="0.25"/>
    <row r="377" ht="30" customHeight="1" x14ac:dyDescent="0.25"/>
    <row r="378" ht="30" customHeight="1" x14ac:dyDescent="0.25"/>
    <row r="379" ht="30" customHeight="1" x14ac:dyDescent="0.25"/>
    <row r="380" ht="30" customHeight="1" x14ac:dyDescent="0.25"/>
    <row r="381" ht="30" customHeight="1" x14ac:dyDescent="0.25"/>
    <row r="382" ht="30" customHeight="1" x14ac:dyDescent="0.25"/>
    <row r="383" ht="30" customHeight="1" x14ac:dyDescent="0.25"/>
    <row r="384" ht="30" customHeight="1" x14ac:dyDescent="0.25"/>
    <row r="385" ht="30" customHeight="1" x14ac:dyDescent="0.25"/>
    <row r="386" ht="30" customHeight="1" x14ac:dyDescent="0.25"/>
    <row r="387" ht="30" customHeight="1" x14ac:dyDescent="0.25"/>
    <row r="388" ht="30" customHeight="1" x14ac:dyDescent="0.25"/>
    <row r="389" ht="30" customHeight="1" x14ac:dyDescent="0.25"/>
    <row r="390" ht="30" customHeight="1" x14ac:dyDescent="0.25"/>
    <row r="391" ht="30" customHeight="1" x14ac:dyDescent="0.25"/>
    <row r="392" ht="30" customHeight="1" x14ac:dyDescent="0.25"/>
    <row r="393" ht="30" customHeight="1" x14ac:dyDescent="0.25"/>
    <row r="394" ht="30" customHeight="1" x14ac:dyDescent="0.25"/>
    <row r="395" ht="30" customHeight="1" x14ac:dyDescent="0.25"/>
    <row r="396" ht="30" customHeight="1" x14ac:dyDescent="0.25"/>
    <row r="397" ht="30" customHeight="1" x14ac:dyDescent="0.25"/>
    <row r="398" ht="30" customHeight="1" x14ac:dyDescent="0.25"/>
    <row r="399" ht="30" customHeight="1" x14ac:dyDescent="0.25"/>
    <row r="400" ht="30" customHeight="1" x14ac:dyDescent="0.25"/>
    <row r="401" ht="30" customHeight="1" x14ac:dyDescent="0.25"/>
    <row r="402" ht="30" customHeight="1" x14ac:dyDescent="0.25"/>
    <row r="403" ht="30" customHeight="1" x14ac:dyDescent="0.25"/>
    <row r="404" ht="30" customHeight="1" x14ac:dyDescent="0.25"/>
    <row r="405" ht="30" customHeight="1" x14ac:dyDescent="0.25"/>
    <row r="406" ht="30" customHeight="1" x14ac:dyDescent="0.25"/>
    <row r="407" ht="30" customHeight="1" x14ac:dyDescent="0.25"/>
    <row r="408" ht="30" customHeight="1" x14ac:dyDescent="0.25"/>
    <row r="409" ht="30" customHeight="1" x14ac:dyDescent="0.25"/>
    <row r="410" ht="30" customHeight="1" x14ac:dyDescent="0.25"/>
    <row r="411" ht="30" customHeight="1" x14ac:dyDescent="0.25"/>
    <row r="412" ht="30" customHeight="1" x14ac:dyDescent="0.25"/>
    <row r="413" ht="30" customHeight="1" x14ac:dyDescent="0.25"/>
    <row r="414" ht="30" customHeight="1" x14ac:dyDescent="0.25"/>
    <row r="415" ht="30" customHeight="1" x14ac:dyDescent="0.25"/>
    <row r="416" ht="30" customHeight="1" x14ac:dyDescent="0.25"/>
    <row r="417" ht="30" customHeight="1" x14ac:dyDescent="0.25"/>
    <row r="418" ht="30" customHeight="1" x14ac:dyDescent="0.25"/>
    <row r="419" ht="30" customHeight="1" x14ac:dyDescent="0.25"/>
    <row r="420" ht="30" customHeight="1" x14ac:dyDescent="0.25"/>
    <row r="421" ht="30" customHeight="1" x14ac:dyDescent="0.25"/>
    <row r="422" ht="30" customHeight="1" x14ac:dyDescent="0.25"/>
    <row r="423" ht="30" customHeight="1" x14ac:dyDescent="0.25"/>
    <row r="424" ht="30" customHeight="1" x14ac:dyDescent="0.25"/>
    <row r="425" ht="30" customHeight="1" x14ac:dyDescent="0.25"/>
    <row r="426" ht="30" customHeight="1" x14ac:dyDescent="0.25"/>
    <row r="427" ht="30" customHeight="1" x14ac:dyDescent="0.25"/>
    <row r="428" ht="30" customHeight="1" x14ac:dyDescent="0.25"/>
    <row r="429" ht="30" customHeight="1" x14ac:dyDescent="0.25"/>
    <row r="430" ht="30" customHeight="1" x14ac:dyDescent="0.25"/>
    <row r="431" ht="30" customHeight="1" x14ac:dyDescent="0.25"/>
    <row r="432" ht="30" customHeight="1" x14ac:dyDescent="0.25"/>
    <row r="433" ht="30" customHeight="1" x14ac:dyDescent="0.25"/>
    <row r="434" ht="30" customHeight="1" x14ac:dyDescent="0.25"/>
    <row r="435" ht="30" customHeight="1" x14ac:dyDescent="0.25"/>
    <row r="436" ht="30" customHeight="1" x14ac:dyDescent="0.25"/>
    <row r="437" ht="30" customHeight="1" x14ac:dyDescent="0.25"/>
    <row r="438" ht="30" customHeight="1" x14ac:dyDescent="0.25"/>
    <row r="439" ht="30" customHeight="1" x14ac:dyDescent="0.25"/>
    <row r="440" ht="30" customHeight="1" x14ac:dyDescent="0.25"/>
    <row r="441" ht="30" customHeight="1" x14ac:dyDescent="0.25"/>
    <row r="442" ht="30" customHeight="1" x14ac:dyDescent="0.25"/>
    <row r="443" ht="30" customHeight="1" x14ac:dyDescent="0.25"/>
    <row r="444" ht="30" customHeight="1" x14ac:dyDescent="0.25"/>
    <row r="445" ht="30" customHeight="1" x14ac:dyDescent="0.25"/>
    <row r="446" ht="30" customHeight="1" x14ac:dyDescent="0.25"/>
    <row r="447" ht="30" customHeight="1" x14ac:dyDescent="0.25"/>
    <row r="448" ht="30" customHeight="1" x14ac:dyDescent="0.25"/>
    <row r="449" ht="30" customHeight="1" x14ac:dyDescent="0.25"/>
    <row r="450" ht="30" customHeight="1" x14ac:dyDescent="0.25"/>
    <row r="451" ht="30" customHeight="1" x14ac:dyDescent="0.25"/>
    <row r="452" ht="30" customHeight="1" x14ac:dyDescent="0.25"/>
    <row r="453" ht="30" customHeight="1" x14ac:dyDescent="0.25"/>
    <row r="454" ht="30" customHeight="1" x14ac:dyDescent="0.25"/>
    <row r="455" ht="30" customHeight="1" x14ac:dyDescent="0.25"/>
    <row r="456" ht="30" customHeight="1" x14ac:dyDescent="0.25"/>
    <row r="457" ht="30" customHeight="1" x14ac:dyDescent="0.25"/>
    <row r="458" ht="30" customHeight="1" x14ac:dyDescent="0.25"/>
    <row r="459" ht="30" customHeight="1" x14ac:dyDescent="0.25"/>
    <row r="460" ht="30" customHeight="1" x14ac:dyDescent="0.25"/>
    <row r="461" ht="30" customHeight="1" x14ac:dyDescent="0.25"/>
    <row r="462" ht="30" customHeight="1" x14ac:dyDescent="0.25"/>
    <row r="463" ht="30" customHeight="1" x14ac:dyDescent="0.25"/>
    <row r="464" ht="30" customHeight="1" x14ac:dyDescent="0.25"/>
    <row r="465" ht="30" customHeight="1" x14ac:dyDescent="0.25"/>
    <row r="466" ht="30" customHeight="1" x14ac:dyDescent="0.25"/>
    <row r="467" ht="30" customHeight="1" x14ac:dyDescent="0.25"/>
    <row r="468" ht="30" customHeight="1" x14ac:dyDescent="0.25"/>
    <row r="469" ht="30" customHeight="1" x14ac:dyDescent="0.25"/>
    <row r="470" ht="30" customHeight="1" x14ac:dyDescent="0.25"/>
    <row r="471" ht="30" customHeight="1" x14ac:dyDescent="0.25"/>
    <row r="472" ht="30" customHeight="1" x14ac:dyDescent="0.25"/>
    <row r="473" ht="30" customHeight="1" x14ac:dyDescent="0.25"/>
    <row r="474" ht="30" customHeight="1" x14ac:dyDescent="0.25"/>
    <row r="475" ht="30" customHeight="1" x14ac:dyDescent="0.25"/>
    <row r="476" ht="30" customHeight="1" x14ac:dyDescent="0.25"/>
    <row r="477" ht="30" customHeight="1" x14ac:dyDescent="0.25"/>
    <row r="478" ht="30" customHeight="1" x14ac:dyDescent="0.25"/>
    <row r="479" ht="30" customHeight="1" x14ac:dyDescent="0.25"/>
    <row r="480" ht="30" customHeight="1" x14ac:dyDescent="0.25"/>
    <row r="481" ht="30" customHeight="1" x14ac:dyDescent="0.25"/>
    <row r="482" ht="30" customHeight="1" x14ac:dyDescent="0.25"/>
    <row r="483" ht="30" customHeight="1" x14ac:dyDescent="0.25"/>
    <row r="484" ht="30" customHeight="1" x14ac:dyDescent="0.25"/>
    <row r="485" ht="30" customHeight="1" x14ac:dyDescent="0.25"/>
    <row r="486" ht="30" customHeight="1" x14ac:dyDescent="0.25"/>
    <row r="487" ht="30" customHeight="1" x14ac:dyDescent="0.25"/>
    <row r="488" ht="30" customHeight="1" x14ac:dyDescent="0.25"/>
    <row r="489" ht="30" customHeight="1" x14ac:dyDescent="0.25"/>
    <row r="490" ht="30" customHeight="1" x14ac:dyDescent="0.25"/>
    <row r="491" ht="30" customHeight="1" x14ac:dyDescent="0.25"/>
    <row r="492" ht="30" customHeight="1" x14ac:dyDescent="0.25"/>
    <row r="493" ht="30" customHeight="1" x14ac:dyDescent="0.25"/>
    <row r="494" ht="30" customHeight="1" x14ac:dyDescent="0.25"/>
    <row r="495" ht="30" customHeight="1" x14ac:dyDescent="0.25"/>
    <row r="496" ht="30" customHeight="1" x14ac:dyDescent="0.25"/>
    <row r="497" ht="30" customHeight="1" x14ac:dyDescent="0.25"/>
    <row r="498" ht="30" customHeight="1" x14ac:dyDescent="0.25"/>
    <row r="499" ht="30" customHeight="1" x14ac:dyDescent="0.25"/>
    <row r="500" ht="30" customHeight="1" x14ac:dyDescent="0.25"/>
    <row r="501" ht="30" customHeight="1" x14ac:dyDescent="0.25"/>
    <row r="502" ht="30" customHeight="1" x14ac:dyDescent="0.25"/>
    <row r="503" ht="30" customHeight="1" x14ac:dyDescent="0.25"/>
    <row r="504" ht="30" customHeight="1" x14ac:dyDescent="0.25"/>
    <row r="505" ht="30" customHeight="1" x14ac:dyDescent="0.25"/>
    <row r="506" ht="30" customHeight="1" x14ac:dyDescent="0.25"/>
    <row r="507" ht="30" customHeight="1" x14ac:dyDescent="0.25"/>
    <row r="508" ht="30" customHeight="1" x14ac:dyDescent="0.25"/>
    <row r="509" ht="30" customHeight="1" x14ac:dyDescent="0.25"/>
    <row r="510" ht="30" customHeight="1" x14ac:dyDescent="0.25"/>
    <row r="511" ht="30" customHeight="1" x14ac:dyDescent="0.25"/>
    <row r="512" ht="30" customHeight="1" x14ac:dyDescent="0.25"/>
    <row r="513" ht="30" customHeight="1" x14ac:dyDescent="0.25"/>
    <row r="514" ht="30" customHeight="1" x14ac:dyDescent="0.25"/>
    <row r="515" ht="30" customHeight="1" x14ac:dyDescent="0.25"/>
    <row r="516" ht="30" customHeight="1" x14ac:dyDescent="0.25"/>
    <row r="517" ht="30" customHeight="1" x14ac:dyDescent="0.25"/>
    <row r="518" ht="30" customHeight="1" x14ac:dyDescent="0.25"/>
    <row r="519" ht="30" customHeight="1" x14ac:dyDescent="0.25"/>
    <row r="520" ht="30" customHeight="1" x14ac:dyDescent="0.25"/>
    <row r="521" ht="30" customHeight="1" x14ac:dyDescent="0.25"/>
    <row r="522" ht="30" customHeight="1" x14ac:dyDescent="0.25"/>
    <row r="523" ht="30" customHeight="1" x14ac:dyDescent="0.25"/>
    <row r="524" ht="30" customHeight="1" x14ac:dyDescent="0.25"/>
    <row r="525" ht="30" customHeight="1" x14ac:dyDescent="0.25"/>
    <row r="526" ht="30" customHeight="1" x14ac:dyDescent="0.25"/>
    <row r="527" ht="30" customHeight="1" x14ac:dyDescent="0.25"/>
    <row r="528" ht="30" customHeight="1" x14ac:dyDescent="0.25"/>
    <row r="529" ht="30" customHeight="1" x14ac:dyDescent="0.25"/>
    <row r="530" ht="30" customHeight="1" x14ac:dyDescent="0.25"/>
    <row r="531" ht="30" customHeight="1" x14ac:dyDescent="0.25"/>
    <row r="532" ht="30" customHeight="1" x14ac:dyDescent="0.25"/>
    <row r="533" ht="30" customHeight="1" x14ac:dyDescent="0.25"/>
    <row r="534" ht="30" customHeight="1" x14ac:dyDescent="0.25"/>
    <row r="535" ht="30" customHeight="1" x14ac:dyDescent="0.25"/>
    <row r="536" ht="30" customHeight="1" x14ac:dyDescent="0.25"/>
    <row r="537" ht="30" customHeight="1" x14ac:dyDescent="0.25"/>
    <row r="538" ht="30" customHeight="1" x14ac:dyDescent="0.25"/>
    <row r="539" ht="30" customHeight="1" x14ac:dyDescent="0.25"/>
    <row r="540" ht="30" customHeight="1" x14ac:dyDescent="0.25"/>
    <row r="541" ht="30" customHeight="1" x14ac:dyDescent="0.25"/>
    <row r="542" ht="30" customHeight="1" x14ac:dyDescent="0.25"/>
    <row r="543" ht="30" customHeight="1" x14ac:dyDescent="0.25"/>
    <row r="544" ht="30" customHeight="1" x14ac:dyDescent="0.25"/>
    <row r="545" ht="30" customHeight="1" x14ac:dyDescent="0.25"/>
    <row r="546" ht="30" customHeight="1" x14ac:dyDescent="0.25"/>
    <row r="547" ht="30" customHeight="1" x14ac:dyDescent="0.25"/>
    <row r="548" ht="30" customHeight="1" x14ac:dyDescent="0.25"/>
    <row r="549" ht="30" customHeight="1" x14ac:dyDescent="0.25"/>
    <row r="550" ht="30" customHeight="1" x14ac:dyDescent="0.25"/>
    <row r="551" ht="30" customHeight="1" x14ac:dyDescent="0.25"/>
    <row r="552" ht="30" customHeight="1" x14ac:dyDescent="0.25"/>
    <row r="553" ht="30" customHeight="1" x14ac:dyDescent="0.25"/>
    <row r="554" ht="30" customHeight="1" x14ac:dyDescent="0.25"/>
    <row r="555" ht="30" customHeight="1" x14ac:dyDescent="0.25"/>
    <row r="556" ht="30" customHeight="1" x14ac:dyDescent="0.25"/>
    <row r="557" ht="30" customHeight="1" x14ac:dyDescent="0.25"/>
    <row r="558" ht="30" customHeight="1" x14ac:dyDescent="0.25"/>
    <row r="559" ht="30" customHeight="1" x14ac:dyDescent="0.25"/>
    <row r="560" ht="30" customHeight="1" x14ac:dyDescent="0.25"/>
    <row r="561" ht="30" customHeight="1" x14ac:dyDescent="0.25"/>
    <row r="562" ht="30" customHeight="1" x14ac:dyDescent="0.25"/>
    <row r="563" ht="30" customHeight="1" x14ac:dyDescent="0.25"/>
    <row r="564" ht="30" customHeight="1" x14ac:dyDescent="0.25"/>
    <row r="565" ht="30" customHeight="1" x14ac:dyDescent="0.25"/>
    <row r="566" ht="30" customHeight="1" x14ac:dyDescent="0.25"/>
    <row r="567" ht="30" customHeight="1" x14ac:dyDescent="0.25"/>
    <row r="568" ht="30" customHeight="1" x14ac:dyDescent="0.25"/>
    <row r="569" ht="30" customHeight="1" x14ac:dyDescent="0.25"/>
    <row r="570" ht="30" customHeight="1" x14ac:dyDescent="0.25"/>
    <row r="571" ht="30" customHeight="1" x14ac:dyDescent="0.25"/>
    <row r="572" ht="30" customHeight="1" x14ac:dyDescent="0.25"/>
    <row r="573" ht="30" customHeight="1" x14ac:dyDescent="0.25"/>
    <row r="574" ht="30" customHeight="1" x14ac:dyDescent="0.25"/>
    <row r="575" ht="30" customHeight="1" x14ac:dyDescent="0.25"/>
    <row r="576" ht="30" customHeight="1" x14ac:dyDescent="0.25"/>
    <row r="577" ht="30" customHeight="1" x14ac:dyDescent="0.25"/>
    <row r="578" ht="30" customHeight="1" x14ac:dyDescent="0.25"/>
    <row r="579" ht="30" customHeight="1" x14ac:dyDescent="0.25"/>
    <row r="580" ht="30" customHeight="1" x14ac:dyDescent="0.25"/>
    <row r="581" ht="30" customHeight="1" x14ac:dyDescent="0.25"/>
    <row r="582" ht="30" customHeight="1" x14ac:dyDescent="0.25"/>
    <row r="583" ht="30" customHeight="1" x14ac:dyDescent="0.25"/>
    <row r="584" ht="30" customHeight="1" x14ac:dyDescent="0.25"/>
    <row r="585" ht="30" customHeight="1" x14ac:dyDescent="0.25"/>
    <row r="586" ht="30" customHeight="1" x14ac:dyDescent="0.25"/>
    <row r="587" ht="30" customHeight="1" x14ac:dyDescent="0.25"/>
    <row r="588" ht="30" customHeight="1" x14ac:dyDescent="0.25"/>
    <row r="589" ht="30" customHeight="1" x14ac:dyDescent="0.25"/>
    <row r="590" ht="30" customHeight="1" x14ac:dyDescent="0.25"/>
    <row r="591" ht="30" customHeight="1" x14ac:dyDescent="0.25"/>
    <row r="592" ht="30" customHeight="1" x14ac:dyDescent="0.25"/>
    <row r="593" ht="30" customHeight="1" x14ac:dyDescent="0.25"/>
    <row r="594" ht="30" customHeight="1" x14ac:dyDescent="0.25"/>
    <row r="595" ht="30" customHeight="1" x14ac:dyDescent="0.25"/>
    <row r="596" ht="30" customHeight="1" x14ac:dyDescent="0.25"/>
    <row r="597" ht="30" customHeight="1" x14ac:dyDescent="0.25"/>
    <row r="598" ht="30" customHeight="1" x14ac:dyDescent="0.25"/>
    <row r="599" ht="30" customHeight="1" x14ac:dyDescent="0.25"/>
    <row r="600" ht="30" customHeight="1" x14ac:dyDescent="0.25"/>
    <row r="601" ht="30" customHeight="1" x14ac:dyDescent="0.25"/>
    <row r="602" ht="30" customHeight="1" x14ac:dyDescent="0.25"/>
    <row r="603" ht="30" customHeight="1" x14ac:dyDescent="0.25"/>
    <row r="604" ht="30" customHeight="1" x14ac:dyDescent="0.25"/>
    <row r="605" ht="30" customHeight="1" x14ac:dyDescent="0.25"/>
    <row r="606" ht="30" customHeight="1" x14ac:dyDescent="0.25"/>
    <row r="607" ht="30" customHeight="1" x14ac:dyDescent="0.25"/>
    <row r="608" ht="30" customHeight="1" x14ac:dyDescent="0.25"/>
    <row r="609" ht="30" customHeight="1" x14ac:dyDescent="0.25"/>
    <row r="610" ht="30" customHeight="1" x14ac:dyDescent="0.25"/>
    <row r="611" ht="30" customHeight="1" x14ac:dyDescent="0.25"/>
    <row r="612" ht="30" customHeight="1" x14ac:dyDescent="0.25"/>
    <row r="613" ht="30" customHeight="1" x14ac:dyDescent="0.25"/>
    <row r="614" ht="30" customHeight="1" x14ac:dyDescent="0.25"/>
    <row r="615" ht="30" customHeight="1" x14ac:dyDescent="0.25"/>
    <row r="616" ht="30" customHeight="1" x14ac:dyDescent="0.25"/>
    <row r="617" ht="30" customHeight="1" x14ac:dyDescent="0.25"/>
    <row r="618" ht="30" customHeight="1" x14ac:dyDescent="0.25"/>
    <row r="619" ht="30" customHeight="1" x14ac:dyDescent="0.25"/>
    <row r="620" ht="30" customHeight="1" x14ac:dyDescent="0.25"/>
    <row r="621" ht="30" customHeight="1" x14ac:dyDescent="0.25"/>
    <row r="622" ht="30" customHeight="1" x14ac:dyDescent="0.25"/>
    <row r="623" ht="30" customHeight="1" x14ac:dyDescent="0.25"/>
    <row r="624" ht="30" customHeight="1" x14ac:dyDescent="0.25"/>
    <row r="625" ht="30" customHeight="1" x14ac:dyDescent="0.25"/>
    <row r="626" ht="30" customHeight="1" x14ac:dyDescent="0.25"/>
    <row r="627" ht="30" customHeight="1" x14ac:dyDescent="0.25"/>
    <row r="628" ht="30" customHeight="1" x14ac:dyDescent="0.25"/>
    <row r="629" ht="30" customHeight="1" x14ac:dyDescent="0.25"/>
    <row r="630" ht="30" customHeight="1" x14ac:dyDescent="0.25"/>
    <row r="631" ht="30" customHeight="1" x14ac:dyDescent="0.25"/>
    <row r="632" ht="30" customHeight="1" x14ac:dyDescent="0.25"/>
    <row r="633" ht="30" customHeight="1" x14ac:dyDescent="0.25"/>
    <row r="634" ht="30" customHeight="1" x14ac:dyDescent="0.25"/>
    <row r="635" ht="30" customHeight="1" x14ac:dyDescent="0.25"/>
    <row r="636" ht="30" customHeight="1" x14ac:dyDescent="0.25"/>
    <row r="637" ht="30" customHeight="1" x14ac:dyDescent="0.25"/>
    <row r="638" ht="30" customHeight="1" x14ac:dyDescent="0.25"/>
    <row r="639" ht="30" customHeight="1" x14ac:dyDescent="0.25"/>
    <row r="640" ht="30" customHeight="1" x14ac:dyDescent="0.25"/>
    <row r="641" ht="30" customHeight="1" x14ac:dyDescent="0.25"/>
    <row r="642" ht="30" customHeight="1" x14ac:dyDescent="0.25"/>
    <row r="643" ht="30" customHeight="1" x14ac:dyDescent="0.25"/>
    <row r="644" ht="30" customHeight="1" x14ac:dyDescent="0.25"/>
    <row r="645" ht="30" customHeight="1" x14ac:dyDescent="0.25"/>
    <row r="646" ht="30" customHeight="1" x14ac:dyDescent="0.25"/>
    <row r="647" ht="30" customHeight="1" x14ac:dyDescent="0.25"/>
    <row r="648" ht="30" customHeight="1" x14ac:dyDescent="0.25"/>
    <row r="649" ht="30" customHeight="1" x14ac:dyDescent="0.25"/>
    <row r="650" ht="30" customHeight="1" x14ac:dyDescent="0.25"/>
    <row r="651" ht="30" customHeight="1" x14ac:dyDescent="0.25"/>
    <row r="652" ht="30" customHeight="1" x14ac:dyDescent="0.25"/>
    <row r="653" ht="30" customHeight="1" x14ac:dyDescent="0.25"/>
    <row r="654" ht="30" customHeight="1" x14ac:dyDescent="0.25"/>
    <row r="655" ht="30" customHeight="1" x14ac:dyDescent="0.25"/>
    <row r="656" ht="30" customHeight="1" x14ac:dyDescent="0.25"/>
    <row r="657" ht="30" customHeight="1" x14ac:dyDescent="0.25"/>
    <row r="658" ht="30" customHeight="1" x14ac:dyDescent="0.25"/>
    <row r="659" ht="30" customHeight="1" x14ac:dyDescent="0.25"/>
    <row r="660" ht="30" customHeight="1" x14ac:dyDescent="0.25"/>
    <row r="661" ht="30" customHeight="1" x14ac:dyDescent="0.25"/>
    <row r="662" ht="30" customHeight="1" x14ac:dyDescent="0.25"/>
    <row r="663" ht="30" customHeight="1" x14ac:dyDescent="0.25"/>
    <row r="664" ht="30" customHeight="1" x14ac:dyDescent="0.25"/>
    <row r="665" ht="30" customHeight="1" x14ac:dyDescent="0.25"/>
    <row r="666" ht="30" customHeight="1" x14ac:dyDescent="0.25"/>
    <row r="667" ht="30" customHeight="1" x14ac:dyDescent="0.25"/>
    <row r="668" ht="30" customHeight="1" x14ac:dyDescent="0.25"/>
    <row r="669" ht="30" customHeight="1" x14ac:dyDescent="0.25"/>
    <row r="670" ht="30" customHeight="1" x14ac:dyDescent="0.25"/>
    <row r="671" ht="30" customHeight="1" x14ac:dyDescent="0.25"/>
    <row r="672" ht="30" customHeight="1" x14ac:dyDescent="0.25"/>
    <row r="673" ht="30" customHeight="1" x14ac:dyDescent="0.25"/>
    <row r="674" ht="30" customHeight="1" x14ac:dyDescent="0.25"/>
    <row r="675" ht="30" customHeight="1" x14ac:dyDescent="0.25"/>
    <row r="676" ht="30" customHeight="1" x14ac:dyDescent="0.25"/>
    <row r="677" ht="30" customHeight="1" x14ac:dyDescent="0.25"/>
    <row r="678" ht="30" customHeight="1" x14ac:dyDescent="0.25"/>
    <row r="679" ht="30" customHeight="1" x14ac:dyDescent="0.25"/>
    <row r="680" ht="30" customHeight="1" x14ac:dyDescent="0.25"/>
    <row r="681" ht="30" customHeight="1" x14ac:dyDescent="0.25"/>
    <row r="682" ht="30" customHeight="1" x14ac:dyDescent="0.25"/>
    <row r="683" ht="30" customHeight="1" x14ac:dyDescent="0.25"/>
    <row r="684" ht="30" customHeight="1" x14ac:dyDescent="0.25"/>
    <row r="685" ht="30" customHeight="1" x14ac:dyDescent="0.25"/>
    <row r="686" ht="30" customHeight="1" x14ac:dyDescent="0.25"/>
    <row r="687" ht="30" customHeight="1" x14ac:dyDescent="0.25"/>
    <row r="688" ht="30" customHeight="1" x14ac:dyDescent="0.25"/>
    <row r="689" ht="30" customHeight="1" x14ac:dyDescent="0.25"/>
    <row r="690" ht="30" customHeight="1" x14ac:dyDescent="0.25"/>
    <row r="691" ht="30" customHeight="1" x14ac:dyDescent="0.25"/>
    <row r="692" ht="30" customHeight="1" x14ac:dyDescent="0.25"/>
    <row r="693" ht="30" customHeight="1" x14ac:dyDescent="0.25"/>
    <row r="694" ht="30" customHeight="1" x14ac:dyDescent="0.25"/>
    <row r="695" ht="30" customHeight="1" x14ac:dyDescent="0.25"/>
    <row r="696" ht="30" customHeight="1" x14ac:dyDescent="0.25"/>
    <row r="697" ht="30" customHeight="1" x14ac:dyDescent="0.25"/>
    <row r="698" ht="30" customHeight="1" x14ac:dyDescent="0.25"/>
    <row r="699" ht="30" customHeight="1" x14ac:dyDescent="0.25"/>
    <row r="700" ht="30" customHeight="1" x14ac:dyDescent="0.25"/>
    <row r="701" ht="30" customHeight="1" x14ac:dyDescent="0.25"/>
    <row r="702" ht="30" customHeight="1" x14ac:dyDescent="0.25"/>
    <row r="703" ht="30" customHeight="1" x14ac:dyDescent="0.25"/>
    <row r="704" ht="30" customHeight="1" x14ac:dyDescent="0.25"/>
    <row r="705" ht="30" customHeight="1" x14ac:dyDescent="0.25"/>
    <row r="706" ht="30" customHeight="1" x14ac:dyDescent="0.25"/>
    <row r="707" ht="30" customHeight="1" x14ac:dyDescent="0.25"/>
    <row r="708" ht="30" customHeight="1" x14ac:dyDescent="0.25"/>
    <row r="709" ht="30" customHeight="1" x14ac:dyDescent="0.25"/>
    <row r="710" ht="30" customHeight="1" x14ac:dyDescent="0.25"/>
    <row r="711" ht="30" customHeight="1" x14ac:dyDescent="0.25"/>
    <row r="712" ht="30" customHeight="1" x14ac:dyDescent="0.25"/>
    <row r="713" ht="30" customHeight="1" x14ac:dyDescent="0.25"/>
    <row r="714" ht="30" customHeight="1" x14ac:dyDescent="0.25"/>
    <row r="715" ht="30" customHeight="1" x14ac:dyDescent="0.25"/>
    <row r="716" ht="30" customHeight="1" x14ac:dyDescent="0.25"/>
    <row r="717" ht="30" customHeight="1" x14ac:dyDescent="0.25"/>
    <row r="718" ht="30" customHeight="1" x14ac:dyDescent="0.25"/>
    <row r="719" ht="30" customHeight="1" x14ac:dyDescent="0.25"/>
    <row r="720" ht="30" customHeight="1" x14ac:dyDescent="0.25"/>
    <row r="721" ht="30" customHeight="1" x14ac:dyDescent="0.25"/>
    <row r="722" ht="30" customHeight="1" x14ac:dyDescent="0.25"/>
    <row r="723" ht="30" customHeight="1" x14ac:dyDescent="0.25"/>
    <row r="724" ht="30" customHeight="1" x14ac:dyDescent="0.25"/>
    <row r="725" ht="30" customHeight="1" x14ac:dyDescent="0.25"/>
    <row r="726" ht="30" customHeight="1" x14ac:dyDescent="0.25"/>
    <row r="727" ht="30" customHeight="1" x14ac:dyDescent="0.25"/>
    <row r="728" ht="30" customHeight="1" x14ac:dyDescent="0.25"/>
    <row r="729" ht="30" customHeight="1" x14ac:dyDescent="0.25"/>
    <row r="730" ht="30" customHeight="1" x14ac:dyDescent="0.25"/>
    <row r="731" ht="30" customHeight="1" x14ac:dyDescent="0.25"/>
    <row r="732" ht="30" customHeight="1" x14ac:dyDescent="0.25"/>
    <row r="733" ht="30" customHeight="1" x14ac:dyDescent="0.25"/>
    <row r="734" ht="30" customHeight="1" x14ac:dyDescent="0.25"/>
    <row r="735" ht="30" customHeight="1" x14ac:dyDescent="0.25"/>
    <row r="736" ht="30" customHeight="1" x14ac:dyDescent="0.25"/>
    <row r="737" ht="30" customHeight="1" x14ac:dyDescent="0.25"/>
    <row r="738" ht="30" customHeight="1" x14ac:dyDescent="0.25"/>
    <row r="739" ht="30" customHeight="1" x14ac:dyDescent="0.25"/>
    <row r="740" ht="30" customHeight="1" x14ac:dyDescent="0.25"/>
    <row r="741" ht="30" customHeight="1" x14ac:dyDescent="0.25"/>
    <row r="742" ht="30" customHeight="1" x14ac:dyDescent="0.25"/>
    <row r="743" ht="30" customHeight="1" x14ac:dyDescent="0.25"/>
    <row r="744" ht="30" customHeight="1" x14ac:dyDescent="0.25"/>
    <row r="745" ht="30" customHeight="1" x14ac:dyDescent="0.25"/>
    <row r="746" ht="30" customHeight="1" x14ac:dyDescent="0.25"/>
    <row r="747" ht="30" customHeight="1" x14ac:dyDescent="0.25"/>
    <row r="748" ht="30" customHeight="1" x14ac:dyDescent="0.25"/>
    <row r="749" ht="30" customHeight="1" x14ac:dyDescent="0.25"/>
    <row r="750" ht="30" customHeight="1" x14ac:dyDescent="0.25"/>
    <row r="751" ht="30" customHeight="1" x14ac:dyDescent="0.25"/>
    <row r="752" ht="30" customHeight="1" x14ac:dyDescent="0.25"/>
    <row r="753" ht="30" customHeight="1" x14ac:dyDescent="0.25"/>
    <row r="754" ht="30" customHeight="1" x14ac:dyDescent="0.25"/>
    <row r="755" ht="30" customHeight="1" x14ac:dyDescent="0.25"/>
    <row r="756" ht="30" customHeight="1" x14ac:dyDescent="0.25"/>
    <row r="757" ht="30" customHeight="1" x14ac:dyDescent="0.25"/>
    <row r="758" ht="30" customHeight="1" x14ac:dyDescent="0.25"/>
    <row r="759" ht="30" customHeight="1" x14ac:dyDescent="0.25"/>
    <row r="760" ht="30" customHeight="1" x14ac:dyDescent="0.25"/>
    <row r="761" ht="30" customHeight="1" x14ac:dyDescent="0.25"/>
    <row r="762" ht="30" customHeight="1" x14ac:dyDescent="0.25"/>
    <row r="763" ht="30" customHeight="1" x14ac:dyDescent="0.25"/>
    <row r="764" ht="30" customHeight="1" x14ac:dyDescent="0.25"/>
    <row r="765" ht="30" customHeight="1" x14ac:dyDescent="0.25"/>
    <row r="766" ht="30" customHeight="1" x14ac:dyDescent="0.25"/>
    <row r="767" ht="30" customHeight="1" x14ac:dyDescent="0.25"/>
    <row r="768" ht="30" customHeight="1" x14ac:dyDescent="0.25"/>
    <row r="769" ht="30" customHeight="1" x14ac:dyDescent="0.25"/>
    <row r="770" ht="30" customHeight="1" x14ac:dyDescent="0.25"/>
    <row r="771" ht="30" customHeight="1" x14ac:dyDescent="0.25"/>
    <row r="772" ht="30" customHeight="1" x14ac:dyDescent="0.25"/>
    <row r="773" ht="30" customHeight="1" x14ac:dyDescent="0.25"/>
    <row r="774" ht="30" customHeight="1" x14ac:dyDescent="0.25"/>
    <row r="775" ht="30" customHeight="1" x14ac:dyDescent="0.25"/>
    <row r="776" ht="30" customHeight="1" x14ac:dyDescent="0.25"/>
    <row r="777" ht="30" customHeight="1" x14ac:dyDescent="0.25"/>
    <row r="778" ht="30" customHeight="1" x14ac:dyDescent="0.25"/>
    <row r="779" ht="30" customHeight="1" x14ac:dyDescent="0.25"/>
    <row r="780" ht="30" customHeight="1" x14ac:dyDescent="0.25"/>
    <row r="781" ht="30" customHeight="1" x14ac:dyDescent="0.25"/>
    <row r="782" ht="30" customHeight="1" x14ac:dyDescent="0.25"/>
    <row r="783" ht="30" customHeight="1" x14ac:dyDescent="0.25"/>
    <row r="784" ht="30" customHeight="1" x14ac:dyDescent="0.25"/>
    <row r="785" ht="30" customHeight="1" x14ac:dyDescent="0.25"/>
    <row r="786" ht="30" customHeight="1" x14ac:dyDescent="0.25"/>
    <row r="787" ht="30" customHeight="1" x14ac:dyDescent="0.25"/>
    <row r="788" ht="30" customHeight="1" x14ac:dyDescent="0.25"/>
    <row r="789" ht="30" customHeight="1" x14ac:dyDescent="0.25"/>
    <row r="790" ht="30" customHeight="1" x14ac:dyDescent="0.25"/>
    <row r="791" ht="30" customHeight="1" x14ac:dyDescent="0.25"/>
    <row r="792" ht="30" customHeight="1" x14ac:dyDescent="0.25"/>
    <row r="793" ht="30" customHeight="1" x14ac:dyDescent="0.25"/>
    <row r="794" ht="30" customHeight="1" x14ac:dyDescent="0.25"/>
    <row r="795" ht="30" customHeight="1" x14ac:dyDescent="0.25"/>
    <row r="796" ht="30" customHeight="1" x14ac:dyDescent="0.25"/>
    <row r="797" ht="30" customHeight="1" x14ac:dyDescent="0.25"/>
    <row r="798" ht="30" customHeight="1" x14ac:dyDescent="0.25"/>
    <row r="799" ht="30" customHeight="1" x14ac:dyDescent="0.25"/>
    <row r="800" ht="30" customHeight="1" x14ac:dyDescent="0.25"/>
    <row r="801" ht="30" customHeight="1" x14ac:dyDescent="0.25"/>
    <row r="802" ht="30" customHeight="1" x14ac:dyDescent="0.25"/>
    <row r="803" ht="30" customHeight="1" x14ac:dyDescent="0.25"/>
    <row r="804" ht="30" customHeight="1" x14ac:dyDescent="0.25"/>
    <row r="805" ht="30" customHeight="1" x14ac:dyDescent="0.25"/>
    <row r="806" ht="30" customHeight="1" x14ac:dyDescent="0.25"/>
    <row r="807" ht="30" customHeight="1" x14ac:dyDescent="0.25"/>
    <row r="808" ht="30" customHeight="1" x14ac:dyDescent="0.25"/>
    <row r="809" ht="30" customHeight="1" x14ac:dyDescent="0.25"/>
    <row r="810" ht="30" customHeight="1" x14ac:dyDescent="0.25"/>
    <row r="811" ht="30" customHeight="1" x14ac:dyDescent="0.25"/>
    <row r="812" ht="30" customHeight="1" x14ac:dyDescent="0.25"/>
    <row r="813" ht="30" customHeight="1" x14ac:dyDescent="0.25"/>
    <row r="814" ht="30" customHeight="1" x14ac:dyDescent="0.25"/>
    <row r="815" ht="30" customHeight="1" x14ac:dyDescent="0.25"/>
    <row r="816" ht="30" customHeight="1" x14ac:dyDescent="0.25"/>
    <row r="817" ht="30" customHeight="1" x14ac:dyDescent="0.25"/>
    <row r="818" ht="30" customHeight="1" x14ac:dyDescent="0.25"/>
    <row r="819" ht="30" customHeight="1" x14ac:dyDescent="0.25"/>
    <row r="820" ht="30" customHeight="1" x14ac:dyDescent="0.25"/>
    <row r="821" ht="30" customHeight="1" x14ac:dyDescent="0.25"/>
    <row r="822" ht="30" customHeight="1" x14ac:dyDescent="0.25"/>
    <row r="823" ht="30" customHeight="1" x14ac:dyDescent="0.25"/>
    <row r="824" ht="30" customHeight="1" x14ac:dyDescent="0.25"/>
    <row r="825" ht="30" customHeight="1" x14ac:dyDescent="0.25"/>
    <row r="826" ht="30" customHeight="1" x14ac:dyDescent="0.25"/>
    <row r="827" ht="30" customHeight="1" x14ac:dyDescent="0.25"/>
    <row r="828" ht="30" customHeight="1" x14ac:dyDescent="0.25"/>
    <row r="829" ht="30" customHeight="1" x14ac:dyDescent="0.25"/>
    <row r="830" ht="30" customHeight="1" x14ac:dyDescent="0.25"/>
    <row r="831" ht="30" customHeight="1" x14ac:dyDescent="0.25"/>
    <row r="832" ht="30" customHeight="1" x14ac:dyDescent="0.25"/>
    <row r="833" ht="30" customHeight="1" x14ac:dyDescent="0.25"/>
    <row r="834" ht="30" customHeight="1" x14ac:dyDescent="0.25"/>
    <row r="835" ht="30" customHeight="1" x14ac:dyDescent="0.25"/>
    <row r="836" ht="30" customHeight="1" x14ac:dyDescent="0.25"/>
    <row r="837" ht="30" customHeight="1" x14ac:dyDescent="0.25"/>
    <row r="838" ht="30" customHeight="1" x14ac:dyDescent="0.25"/>
    <row r="839" ht="30" customHeight="1" x14ac:dyDescent="0.25"/>
    <row r="840" ht="30" customHeight="1" x14ac:dyDescent="0.25"/>
    <row r="841" ht="30" customHeight="1" x14ac:dyDescent="0.25"/>
    <row r="842" ht="30" customHeight="1" x14ac:dyDescent="0.25"/>
    <row r="843" ht="30" customHeight="1" x14ac:dyDescent="0.25"/>
    <row r="844" ht="30" customHeight="1" x14ac:dyDescent="0.25"/>
    <row r="845" ht="30" customHeight="1" x14ac:dyDescent="0.25"/>
    <row r="846" ht="30" customHeight="1" x14ac:dyDescent="0.25"/>
    <row r="847" ht="30" customHeight="1" x14ac:dyDescent="0.25"/>
    <row r="848" ht="30" customHeight="1" x14ac:dyDescent="0.25"/>
    <row r="849" ht="30" customHeight="1" x14ac:dyDescent="0.25"/>
    <row r="850" ht="30" customHeight="1" x14ac:dyDescent="0.25"/>
    <row r="851" ht="30" customHeight="1" x14ac:dyDescent="0.25"/>
    <row r="852" ht="30" customHeight="1" x14ac:dyDescent="0.25"/>
    <row r="853" ht="30" customHeight="1" x14ac:dyDescent="0.25"/>
    <row r="854" ht="30" customHeight="1" x14ac:dyDescent="0.25"/>
    <row r="855" ht="30" customHeight="1" x14ac:dyDescent="0.25"/>
    <row r="856" ht="30" customHeight="1" x14ac:dyDescent="0.25"/>
    <row r="857" ht="30" customHeight="1" x14ac:dyDescent="0.25"/>
    <row r="858" ht="30" customHeight="1" x14ac:dyDescent="0.25"/>
    <row r="859" ht="30" customHeight="1" x14ac:dyDescent="0.25"/>
    <row r="860" ht="30" customHeight="1" x14ac:dyDescent="0.25"/>
    <row r="861" ht="30" customHeight="1" x14ac:dyDescent="0.25"/>
    <row r="862" ht="30" customHeight="1" x14ac:dyDescent="0.25"/>
    <row r="863" ht="30" customHeight="1" x14ac:dyDescent="0.25"/>
    <row r="864" ht="30" customHeight="1" x14ac:dyDescent="0.25"/>
    <row r="865" ht="30" customHeight="1" x14ac:dyDescent="0.25"/>
    <row r="866" ht="30" customHeight="1" x14ac:dyDescent="0.25"/>
    <row r="867" ht="30" customHeight="1" x14ac:dyDescent="0.25"/>
    <row r="868" ht="30" customHeight="1" x14ac:dyDescent="0.25"/>
    <row r="869" ht="30" customHeight="1" x14ac:dyDescent="0.25"/>
    <row r="870" ht="30" customHeight="1" x14ac:dyDescent="0.25"/>
    <row r="871" ht="30" customHeight="1" x14ac:dyDescent="0.25"/>
    <row r="872" ht="30" customHeight="1" x14ac:dyDescent="0.25"/>
    <row r="873" ht="30" customHeight="1" x14ac:dyDescent="0.25"/>
    <row r="874" ht="30" customHeight="1" x14ac:dyDescent="0.25"/>
    <row r="875" ht="30" customHeight="1" x14ac:dyDescent="0.25"/>
    <row r="876" ht="30" customHeight="1" x14ac:dyDescent="0.25"/>
    <row r="877" ht="30" customHeight="1" x14ac:dyDescent="0.25"/>
    <row r="878" ht="30" customHeight="1" x14ac:dyDescent="0.25"/>
    <row r="879" ht="30" customHeight="1" x14ac:dyDescent="0.25"/>
    <row r="880" ht="30" customHeight="1" x14ac:dyDescent="0.25"/>
    <row r="881" ht="30" customHeight="1" x14ac:dyDescent="0.25"/>
    <row r="882" ht="30" customHeight="1" x14ac:dyDescent="0.25"/>
    <row r="883" ht="30" customHeight="1" x14ac:dyDescent="0.25"/>
    <row r="884" ht="30" customHeight="1" x14ac:dyDescent="0.25"/>
    <row r="885" ht="30" customHeight="1" x14ac:dyDescent="0.25"/>
    <row r="886" ht="30" customHeight="1" x14ac:dyDescent="0.25"/>
    <row r="887" ht="30" customHeight="1" x14ac:dyDescent="0.25"/>
    <row r="888" ht="30" customHeight="1" x14ac:dyDescent="0.25"/>
    <row r="889" ht="30" customHeight="1" x14ac:dyDescent="0.25"/>
    <row r="890" ht="30" customHeight="1" x14ac:dyDescent="0.25"/>
    <row r="891" ht="30" customHeight="1" x14ac:dyDescent="0.25"/>
    <row r="892" ht="30" customHeight="1" x14ac:dyDescent="0.25"/>
    <row r="893" ht="30" customHeight="1" x14ac:dyDescent="0.25"/>
    <row r="894" ht="30" customHeight="1" x14ac:dyDescent="0.25"/>
    <row r="895" ht="30" customHeight="1" x14ac:dyDescent="0.25"/>
    <row r="896" ht="30" customHeight="1" x14ac:dyDescent="0.25"/>
    <row r="897" ht="30" customHeight="1" x14ac:dyDescent="0.25"/>
    <row r="898" ht="30" customHeight="1" x14ac:dyDescent="0.25"/>
    <row r="899" ht="30" customHeight="1" x14ac:dyDescent="0.25"/>
    <row r="900" ht="30" customHeight="1" x14ac:dyDescent="0.25"/>
    <row r="901" ht="30" customHeight="1" x14ac:dyDescent="0.25"/>
    <row r="902" ht="30" customHeight="1" x14ac:dyDescent="0.25"/>
    <row r="903" ht="30" customHeight="1" x14ac:dyDescent="0.25"/>
    <row r="904" ht="30" customHeight="1" x14ac:dyDescent="0.25"/>
    <row r="905" ht="30" customHeight="1" x14ac:dyDescent="0.25"/>
    <row r="906" ht="30" customHeight="1" x14ac:dyDescent="0.25"/>
    <row r="907" ht="30" customHeight="1" x14ac:dyDescent="0.25"/>
    <row r="908" ht="30" customHeight="1" x14ac:dyDescent="0.25"/>
    <row r="909" ht="30" customHeight="1" x14ac:dyDescent="0.25"/>
    <row r="910" ht="30" customHeight="1" x14ac:dyDescent="0.25"/>
    <row r="911" ht="30" customHeight="1" x14ac:dyDescent="0.25"/>
    <row r="912" ht="30" customHeight="1" x14ac:dyDescent="0.25"/>
    <row r="913" ht="30" customHeight="1" x14ac:dyDescent="0.25"/>
    <row r="914" ht="30" customHeight="1" x14ac:dyDescent="0.25"/>
    <row r="915" ht="30" customHeight="1" x14ac:dyDescent="0.25"/>
    <row r="916" ht="30" customHeight="1" x14ac:dyDescent="0.25"/>
    <row r="917" ht="30" customHeight="1" x14ac:dyDescent="0.25"/>
    <row r="918" ht="30" customHeight="1" x14ac:dyDescent="0.25"/>
    <row r="919" ht="30" customHeight="1" x14ac:dyDescent="0.25"/>
    <row r="920" ht="30" customHeight="1" x14ac:dyDescent="0.25"/>
    <row r="921" ht="30" customHeight="1" x14ac:dyDescent="0.25"/>
    <row r="922" ht="30" customHeight="1" x14ac:dyDescent="0.25"/>
    <row r="923" ht="30" customHeight="1" x14ac:dyDescent="0.25"/>
    <row r="924" ht="30" customHeight="1" x14ac:dyDescent="0.25"/>
    <row r="925" ht="30" customHeight="1" x14ac:dyDescent="0.25"/>
    <row r="926" ht="30" customHeight="1" x14ac:dyDescent="0.25"/>
    <row r="927" ht="30" customHeight="1" x14ac:dyDescent="0.25"/>
    <row r="928" ht="30" customHeight="1" x14ac:dyDescent="0.25"/>
    <row r="929" ht="30" customHeight="1" x14ac:dyDescent="0.25"/>
    <row r="930" ht="30" customHeight="1" x14ac:dyDescent="0.25"/>
    <row r="931" ht="30" customHeight="1" x14ac:dyDescent="0.25"/>
    <row r="932" ht="30" customHeight="1" x14ac:dyDescent="0.25"/>
    <row r="933" ht="30" customHeight="1" x14ac:dyDescent="0.25"/>
    <row r="934" ht="30" customHeight="1" x14ac:dyDescent="0.25"/>
    <row r="935" ht="30" customHeight="1" x14ac:dyDescent="0.25"/>
    <row r="936" ht="30" customHeight="1" x14ac:dyDescent="0.25"/>
    <row r="937" ht="30" customHeight="1" x14ac:dyDescent="0.25"/>
    <row r="938" ht="30" customHeight="1" x14ac:dyDescent="0.25"/>
    <row r="939" ht="30" customHeight="1" x14ac:dyDescent="0.25"/>
    <row r="940" ht="30" customHeight="1" x14ac:dyDescent="0.25"/>
    <row r="941" ht="30" customHeight="1" x14ac:dyDescent="0.25"/>
    <row r="942" ht="30" customHeight="1" x14ac:dyDescent="0.25"/>
    <row r="943" ht="30" customHeight="1" x14ac:dyDescent="0.25"/>
    <row r="944" ht="30" customHeight="1" x14ac:dyDescent="0.25"/>
    <row r="945" ht="30" customHeight="1" x14ac:dyDescent="0.25"/>
    <row r="946" ht="30" customHeight="1" x14ac:dyDescent="0.25"/>
    <row r="947" ht="30" customHeight="1" x14ac:dyDescent="0.25"/>
    <row r="948" ht="30" customHeight="1" x14ac:dyDescent="0.25"/>
    <row r="949" ht="30" customHeight="1" x14ac:dyDescent="0.25"/>
    <row r="950" ht="30" customHeight="1" x14ac:dyDescent="0.25"/>
    <row r="951" ht="30" customHeight="1" x14ac:dyDescent="0.25"/>
    <row r="952" ht="30" customHeight="1" x14ac:dyDescent="0.25"/>
    <row r="953" ht="30" customHeight="1" x14ac:dyDescent="0.25"/>
    <row r="954" ht="30" customHeight="1" x14ac:dyDescent="0.25"/>
    <row r="955" ht="30" customHeight="1" x14ac:dyDescent="0.25"/>
    <row r="956" ht="30" customHeight="1" x14ac:dyDescent="0.25"/>
    <row r="957" ht="30" customHeight="1" x14ac:dyDescent="0.25"/>
    <row r="958" ht="30" customHeight="1" x14ac:dyDescent="0.25"/>
    <row r="959" ht="30" customHeight="1" x14ac:dyDescent="0.25"/>
    <row r="960" ht="30" customHeight="1" x14ac:dyDescent="0.25"/>
    <row r="961" ht="30" customHeight="1" x14ac:dyDescent="0.25"/>
    <row r="962" ht="30" customHeight="1" x14ac:dyDescent="0.25"/>
    <row r="963" ht="30" customHeight="1" x14ac:dyDescent="0.25"/>
    <row r="964" ht="30" customHeight="1" x14ac:dyDescent="0.25"/>
    <row r="965" ht="30" customHeight="1" x14ac:dyDescent="0.25"/>
    <row r="966" ht="30" customHeight="1" x14ac:dyDescent="0.25"/>
    <row r="967" ht="30" customHeight="1" x14ac:dyDescent="0.25"/>
    <row r="968" ht="30" customHeight="1" x14ac:dyDescent="0.25"/>
    <row r="969" ht="30" customHeight="1" x14ac:dyDescent="0.25"/>
    <row r="970" ht="30" customHeight="1" x14ac:dyDescent="0.25"/>
    <row r="971" ht="30" customHeight="1" x14ac:dyDescent="0.25"/>
    <row r="972" ht="30" customHeight="1" x14ac:dyDescent="0.25"/>
    <row r="973" ht="30" customHeight="1" x14ac:dyDescent="0.25"/>
    <row r="974" ht="30" customHeight="1" x14ac:dyDescent="0.25"/>
    <row r="975" ht="30" customHeight="1" x14ac:dyDescent="0.25"/>
    <row r="976" ht="30" customHeight="1" x14ac:dyDescent="0.25"/>
    <row r="977" ht="30" customHeight="1" x14ac:dyDescent="0.25"/>
    <row r="978" ht="30" customHeight="1" x14ac:dyDescent="0.25"/>
    <row r="979" ht="30" customHeight="1" x14ac:dyDescent="0.25"/>
    <row r="980" ht="30" customHeight="1" x14ac:dyDescent="0.25"/>
    <row r="981" ht="30" customHeight="1" x14ac:dyDescent="0.25"/>
    <row r="982" ht="30" customHeight="1" x14ac:dyDescent="0.25"/>
    <row r="983" ht="30" customHeight="1" x14ac:dyDescent="0.25"/>
    <row r="984" ht="30" customHeight="1" x14ac:dyDescent="0.25"/>
    <row r="985" ht="30" customHeight="1" x14ac:dyDescent="0.25"/>
    <row r="986" ht="30" customHeight="1" x14ac:dyDescent="0.25"/>
    <row r="987" ht="30" customHeight="1" x14ac:dyDescent="0.25"/>
    <row r="988" ht="30" customHeight="1" x14ac:dyDescent="0.25"/>
    <row r="989" ht="30" customHeight="1" x14ac:dyDescent="0.25"/>
    <row r="990" ht="30" customHeight="1" x14ac:dyDescent="0.25"/>
    <row r="991" ht="30" customHeight="1" x14ac:dyDescent="0.25"/>
    <row r="992" ht="30" customHeight="1" x14ac:dyDescent="0.25"/>
    <row r="993" ht="30" customHeight="1" x14ac:dyDescent="0.25"/>
    <row r="994" ht="30" customHeight="1" x14ac:dyDescent="0.25"/>
    <row r="995" ht="30" customHeight="1" x14ac:dyDescent="0.25"/>
    <row r="996" ht="30" customHeight="1" x14ac:dyDescent="0.25"/>
    <row r="997" ht="30" customHeight="1" x14ac:dyDescent="0.25"/>
    <row r="998" ht="30" customHeight="1" x14ac:dyDescent="0.25"/>
    <row r="999" ht="30" customHeight="1" x14ac:dyDescent="0.25"/>
    <row r="1000" ht="30" customHeight="1" x14ac:dyDescent="0.25"/>
    <row r="1001" ht="30" customHeight="1" x14ac:dyDescent="0.25"/>
    <row r="1002" ht="30" customHeight="1" x14ac:dyDescent="0.25"/>
    <row r="1003" ht="30" customHeight="1" x14ac:dyDescent="0.25"/>
    <row r="1004" ht="30" customHeight="1" x14ac:dyDescent="0.25"/>
    <row r="1005" ht="30" customHeight="1" x14ac:dyDescent="0.25"/>
    <row r="1006" ht="30" customHeight="1" x14ac:dyDescent="0.25"/>
    <row r="1007" ht="30" customHeight="1" x14ac:dyDescent="0.25"/>
    <row r="1008" ht="30" customHeight="1" x14ac:dyDescent="0.25"/>
    <row r="1009" ht="30" customHeight="1" x14ac:dyDescent="0.25"/>
    <row r="1010" ht="30" customHeight="1" x14ac:dyDescent="0.25"/>
    <row r="1011" ht="30" customHeight="1" x14ac:dyDescent="0.25"/>
    <row r="1012" ht="30" customHeight="1" x14ac:dyDescent="0.25"/>
    <row r="1013" ht="30" customHeight="1" x14ac:dyDescent="0.25"/>
    <row r="1014" ht="30" customHeight="1" x14ac:dyDescent="0.25"/>
    <row r="1015" ht="30" customHeight="1" x14ac:dyDescent="0.25"/>
    <row r="1016" ht="30" customHeight="1" x14ac:dyDescent="0.25"/>
    <row r="1017" ht="30" customHeight="1" x14ac:dyDescent="0.25"/>
    <row r="1018" ht="30" customHeight="1" x14ac:dyDescent="0.25"/>
    <row r="1019" ht="30" customHeight="1" x14ac:dyDescent="0.25"/>
    <row r="1020" ht="30" customHeight="1" x14ac:dyDescent="0.25"/>
    <row r="1021" ht="30" customHeight="1" x14ac:dyDescent="0.25"/>
    <row r="1022" ht="30" customHeight="1" x14ac:dyDescent="0.25"/>
    <row r="1023" ht="30" customHeight="1" x14ac:dyDescent="0.25"/>
    <row r="1024" ht="30" customHeight="1" x14ac:dyDescent="0.25"/>
    <row r="1025" ht="30" customHeight="1" x14ac:dyDescent="0.25"/>
    <row r="1026" ht="30" customHeight="1" x14ac:dyDescent="0.25"/>
    <row r="1027" ht="30" customHeight="1" x14ac:dyDescent="0.25"/>
    <row r="1028" ht="30" customHeight="1" x14ac:dyDescent="0.25"/>
    <row r="1029" ht="30" customHeight="1" x14ac:dyDescent="0.25"/>
    <row r="1030" ht="30" customHeight="1" x14ac:dyDescent="0.25"/>
    <row r="1031" ht="30" customHeight="1" x14ac:dyDescent="0.25"/>
    <row r="1032" ht="30" customHeight="1" x14ac:dyDescent="0.25"/>
    <row r="1033" ht="30" customHeight="1" x14ac:dyDescent="0.25"/>
    <row r="1034" ht="30" customHeight="1" x14ac:dyDescent="0.25"/>
    <row r="1035" ht="30" customHeight="1" x14ac:dyDescent="0.25"/>
    <row r="1036" ht="30" customHeight="1" x14ac:dyDescent="0.25"/>
    <row r="1037" ht="30" customHeight="1" x14ac:dyDescent="0.25"/>
    <row r="1038" ht="30" customHeight="1" x14ac:dyDescent="0.25"/>
    <row r="1039" ht="30" customHeight="1" x14ac:dyDescent="0.25"/>
    <row r="1040" ht="30" customHeight="1" x14ac:dyDescent="0.25"/>
    <row r="1041" ht="30" customHeight="1" x14ac:dyDescent="0.25"/>
    <row r="1042" ht="30" customHeight="1" x14ac:dyDescent="0.25"/>
    <row r="1043" ht="30" customHeight="1" x14ac:dyDescent="0.25"/>
    <row r="1044" ht="30" customHeight="1" x14ac:dyDescent="0.25"/>
    <row r="1045" ht="30" customHeight="1" x14ac:dyDescent="0.25"/>
    <row r="1046" ht="30" customHeight="1" x14ac:dyDescent="0.25"/>
    <row r="1047" ht="30" customHeight="1" x14ac:dyDescent="0.25"/>
    <row r="1048" ht="30" customHeight="1" x14ac:dyDescent="0.25"/>
    <row r="1049" ht="30" customHeight="1" x14ac:dyDescent="0.25"/>
    <row r="1050" ht="30" customHeight="1" x14ac:dyDescent="0.25"/>
    <row r="1051" ht="30" customHeight="1" x14ac:dyDescent="0.25"/>
    <row r="1052" ht="30" customHeight="1" x14ac:dyDescent="0.25"/>
    <row r="1053" ht="30" customHeight="1" x14ac:dyDescent="0.25"/>
    <row r="1054" ht="30" customHeight="1" x14ac:dyDescent="0.25"/>
    <row r="1055" ht="30" customHeight="1" x14ac:dyDescent="0.25"/>
    <row r="1056" ht="30" customHeight="1" x14ac:dyDescent="0.25"/>
    <row r="1057" ht="30" customHeight="1" x14ac:dyDescent="0.25"/>
    <row r="1058" ht="30" customHeight="1" x14ac:dyDescent="0.25"/>
    <row r="1059" ht="30" customHeight="1" x14ac:dyDescent="0.25"/>
    <row r="1060" ht="30" customHeight="1" x14ac:dyDescent="0.25"/>
    <row r="1061" ht="30" customHeight="1" x14ac:dyDescent="0.25"/>
    <row r="1062" ht="30" customHeight="1" x14ac:dyDescent="0.25"/>
    <row r="1063" ht="30" customHeight="1" x14ac:dyDescent="0.25"/>
    <row r="1064" ht="30" customHeight="1" x14ac:dyDescent="0.25"/>
    <row r="1065" ht="30" customHeight="1" x14ac:dyDescent="0.25"/>
    <row r="1066" ht="30" customHeight="1" x14ac:dyDescent="0.25"/>
    <row r="1067" ht="30" customHeight="1" x14ac:dyDescent="0.25"/>
    <row r="1068" ht="30" customHeight="1" x14ac:dyDescent="0.25"/>
    <row r="1069" ht="30" customHeight="1" x14ac:dyDescent="0.25"/>
    <row r="1070" ht="30" customHeight="1" x14ac:dyDescent="0.25"/>
    <row r="1071" ht="30" customHeight="1" x14ac:dyDescent="0.25"/>
    <row r="1072" ht="30" customHeight="1" x14ac:dyDescent="0.25"/>
    <row r="1073" ht="30" customHeight="1" x14ac:dyDescent="0.25"/>
    <row r="1074" ht="30" customHeight="1" x14ac:dyDescent="0.25"/>
    <row r="1075" ht="30" customHeight="1" x14ac:dyDescent="0.25"/>
    <row r="1076" ht="30" customHeight="1" x14ac:dyDescent="0.25"/>
    <row r="1077" ht="30" customHeight="1" x14ac:dyDescent="0.25"/>
    <row r="1078" ht="30" customHeight="1" x14ac:dyDescent="0.25"/>
    <row r="1079" ht="30" customHeight="1" x14ac:dyDescent="0.25"/>
    <row r="1080" ht="30" customHeight="1" x14ac:dyDescent="0.25"/>
    <row r="1081" ht="30" customHeight="1" x14ac:dyDescent="0.25"/>
    <row r="1082" ht="30" customHeight="1" x14ac:dyDescent="0.25"/>
    <row r="1083" ht="30" customHeight="1" x14ac:dyDescent="0.25"/>
    <row r="1084" ht="30" customHeight="1" x14ac:dyDescent="0.25"/>
    <row r="1085" ht="30" customHeight="1" x14ac:dyDescent="0.25"/>
    <row r="1086" ht="30" customHeight="1" x14ac:dyDescent="0.25"/>
    <row r="1087" ht="30" customHeight="1" x14ac:dyDescent="0.25"/>
    <row r="1088" ht="30" customHeight="1" x14ac:dyDescent="0.25"/>
    <row r="1089" ht="30" customHeight="1" x14ac:dyDescent="0.25"/>
    <row r="1090" ht="30" customHeight="1" x14ac:dyDescent="0.25"/>
    <row r="1091" ht="30" customHeight="1" x14ac:dyDescent="0.25"/>
    <row r="1092" ht="30" customHeight="1" x14ac:dyDescent="0.25"/>
    <row r="1093" ht="30" customHeight="1" x14ac:dyDescent="0.25"/>
    <row r="1094" ht="30" customHeight="1" x14ac:dyDescent="0.25"/>
    <row r="1095" ht="30" customHeight="1" x14ac:dyDescent="0.25"/>
    <row r="1096" ht="30" customHeight="1" x14ac:dyDescent="0.25"/>
    <row r="1097" ht="30" customHeight="1" x14ac:dyDescent="0.25"/>
    <row r="1098" ht="30" customHeight="1" x14ac:dyDescent="0.25"/>
    <row r="1099" ht="30" customHeight="1" x14ac:dyDescent="0.25"/>
    <row r="1100" ht="30" customHeight="1" x14ac:dyDescent="0.25"/>
    <row r="1101" ht="30" customHeight="1" x14ac:dyDescent="0.25"/>
    <row r="1102" ht="30" customHeight="1" x14ac:dyDescent="0.25"/>
    <row r="1103" ht="30" customHeight="1" x14ac:dyDescent="0.25"/>
    <row r="1104" ht="30" customHeight="1" x14ac:dyDescent="0.25"/>
    <row r="1105" ht="30" customHeight="1" x14ac:dyDescent="0.25"/>
    <row r="1106" ht="30" customHeight="1" x14ac:dyDescent="0.25"/>
    <row r="1107" ht="30" customHeight="1" x14ac:dyDescent="0.25"/>
    <row r="1108" ht="30" customHeight="1" x14ac:dyDescent="0.25"/>
    <row r="1109" ht="30" customHeight="1" x14ac:dyDescent="0.25"/>
    <row r="1110" ht="30" customHeight="1" x14ac:dyDescent="0.25"/>
    <row r="1111" ht="30" customHeight="1" x14ac:dyDescent="0.25"/>
    <row r="1112" ht="30" customHeight="1" x14ac:dyDescent="0.25"/>
    <row r="1113" ht="30" customHeight="1" x14ac:dyDescent="0.25"/>
    <row r="1114" ht="30" customHeight="1" x14ac:dyDescent="0.25"/>
    <row r="1115" ht="30" customHeight="1" x14ac:dyDescent="0.25"/>
    <row r="1116" ht="30" customHeight="1" x14ac:dyDescent="0.25"/>
    <row r="1117" ht="30" customHeight="1" x14ac:dyDescent="0.25"/>
    <row r="1118" ht="30" customHeight="1" x14ac:dyDescent="0.25"/>
    <row r="1119" ht="30" customHeight="1" x14ac:dyDescent="0.25"/>
    <row r="1120" ht="30" customHeight="1" x14ac:dyDescent="0.25"/>
    <row r="1121" ht="30" customHeight="1" x14ac:dyDescent="0.25"/>
    <row r="1122" ht="30" customHeight="1" x14ac:dyDescent="0.25"/>
    <row r="1123" ht="30" customHeight="1" x14ac:dyDescent="0.25"/>
    <row r="1124" ht="30" customHeight="1" x14ac:dyDescent="0.25"/>
    <row r="1125" ht="30" customHeight="1" x14ac:dyDescent="0.25"/>
    <row r="1126" ht="30" customHeight="1" x14ac:dyDescent="0.25"/>
    <row r="1127" ht="30" customHeight="1" x14ac:dyDescent="0.25"/>
    <row r="1128" ht="30" customHeight="1" x14ac:dyDescent="0.25"/>
    <row r="1129" ht="30" customHeight="1" x14ac:dyDescent="0.25"/>
    <row r="1130" ht="30" customHeight="1" x14ac:dyDescent="0.25"/>
    <row r="1131" ht="30" customHeight="1" x14ac:dyDescent="0.25"/>
    <row r="1132" ht="30" customHeight="1" x14ac:dyDescent="0.25"/>
    <row r="1133" ht="30" customHeight="1" x14ac:dyDescent="0.25"/>
    <row r="1134" ht="30" customHeight="1" x14ac:dyDescent="0.25"/>
    <row r="1135" ht="30" customHeight="1" x14ac:dyDescent="0.25"/>
    <row r="1136" ht="30" customHeight="1" x14ac:dyDescent="0.25"/>
    <row r="1137" ht="30" customHeight="1" x14ac:dyDescent="0.25"/>
    <row r="1138" ht="30" customHeight="1" x14ac:dyDescent="0.25"/>
    <row r="1139" ht="30" customHeight="1" x14ac:dyDescent="0.25"/>
    <row r="1140" ht="30" customHeight="1" x14ac:dyDescent="0.25"/>
    <row r="1141" ht="30" customHeight="1" x14ac:dyDescent="0.25"/>
    <row r="1142" ht="30" customHeight="1" x14ac:dyDescent="0.25"/>
    <row r="1143" ht="30" customHeight="1" x14ac:dyDescent="0.25"/>
    <row r="1144" ht="30" customHeight="1" x14ac:dyDescent="0.25"/>
    <row r="1145" ht="30" customHeight="1" x14ac:dyDescent="0.25"/>
    <row r="1146" ht="30" customHeight="1" x14ac:dyDescent="0.25"/>
    <row r="1147" ht="30" customHeight="1" x14ac:dyDescent="0.25"/>
    <row r="1148" ht="30" customHeight="1" x14ac:dyDescent="0.25"/>
    <row r="1149" ht="30" customHeight="1" x14ac:dyDescent="0.25"/>
    <row r="1150" ht="30" customHeight="1" x14ac:dyDescent="0.25"/>
    <row r="1151" ht="30" customHeight="1" x14ac:dyDescent="0.25"/>
    <row r="1152" ht="30" customHeight="1" x14ac:dyDescent="0.25"/>
    <row r="1153" ht="30" customHeight="1" x14ac:dyDescent="0.25"/>
    <row r="1154" ht="30" customHeight="1" x14ac:dyDescent="0.25"/>
    <row r="1155" ht="30" customHeight="1" x14ac:dyDescent="0.25"/>
    <row r="1156" ht="30" customHeight="1" x14ac:dyDescent="0.25"/>
    <row r="1157" ht="30" customHeight="1" x14ac:dyDescent="0.25"/>
    <row r="1158" ht="30" customHeight="1" x14ac:dyDescent="0.25"/>
    <row r="1159" ht="30" customHeight="1" x14ac:dyDescent="0.25"/>
    <row r="1160" ht="30" customHeight="1" x14ac:dyDescent="0.25"/>
    <row r="1161" ht="30" customHeight="1" x14ac:dyDescent="0.25"/>
    <row r="1162" ht="30" customHeight="1" x14ac:dyDescent="0.25"/>
    <row r="1163" ht="30" customHeight="1" x14ac:dyDescent="0.25"/>
    <row r="1164" ht="30" customHeight="1" x14ac:dyDescent="0.25"/>
    <row r="1165" ht="30" customHeight="1" x14ac:dyDescent="0.25"/>
    <row r="1166" ht="30" customHeight="1" x14ac:dyDescent="0.25"/>
    <row r="1167" ht="30" customHeight="1" x14ac:dyDescent="0.25"/>
    <row r="1168" ht="30" customHeight="1" x14ac:dyDescent="0.25"/>
    <row r="1169" ht="30" customHeight="1" x14ac:dyDescent="0.25"/>
    <row r="1170" ht="30" customHeight="1" x14ac:dyDescent="0.25"/>
    <row r="1171" ht="30" customHeight="1" x14ac:dyDescent="0.25"/>
    <row r="1172" ht="30" customHeight="1" x14ac:dyDescent="0.25"/>
    <row r="1173" ht="30" customHeight="1" x14ac:dyDescent="0.25"/>
    <row r="1174" ht="30" customHeight="1" x14ac:dyDescent="0.25"/>
    <row r="1175" ht="30" customHeight="1" x14ac:dyDescent="0.25"/>
    <row r="1176" ht="30" customHeight="1" x14ac:dyDescent="0.25"/>
    <row r="1177" ht="30" customHeight="1" x14ac:dyDescent="0.25"/>
    <row r="1178" ht="30" customHeight="1" x14ac:dyDescent="0.25"/>
    <row r="1179" ht="30" customHeight="1" x14ac:dyDescent="0.25"/>
    <row r="1180" ht="30" customHeight="1" x14ac:dyDescent="0.25"/>
    <row r="1181" ht="30" customHeight="1" x14ac:dyDescent="0.25"/>
    <row r="1182" ht="30" customHeight="1" x14ac:dyDescent="0.25"/>
    <row r="1183" ht="30" customHeight="1" x14ac:dyDescent="0.25"/>
    <row r="1184" ht="30" customHeight="1" x14ac:dyDescent="0.25"/>
    <row r="1185" ht="30" customHeight="1" x14ac:dyDescent="0.25"/>
    <row r="1186" ht="30" customHeight="1" x14ac:dyDescent="0.25"/>
    <row r="1187" ht="30" customHeight="1" x14ac:dyDescent="0.25"/>
    <row r="1188" ht="30" customHeight="1" x14ac:dyDescent="0.25"/>
    <row r="1189" ht="30" customHeight="1" x14ac:dyDescent="0.25"/>
    <row r="1190" ht="30" customHeight="1" x14ac:dyDescent="0.25"/>
    <row r="1191" ht="30" customHeight="1" x14ac:dyDescent="0.25"/>
    <row r="1192" ht="30" customHeight="1" x14ac:dyDescent="0.25"/>
    <row r="1193" ht="30" customHeight="1" x14ac:dyDescent="0.25"/>
    <row r="1194" ht="30" customHeight="1" x14ac:dyDescent="0.25"/>
    <row r="1195" ht="30" customHeight="1" x14ac:dyDescent="0.25"/>
    <row r="1196" ht="30" customHeight="1" x14ac:dyDescent="0.25"/>
    <row r="1197" ht="30" customHeight="1" x14ac:dyDescent="0.25"/>
    <row r="1198" ht="30" customHeight="1" x14ac:dyDescent="0.25"/>
    <row r="1199" ht="30" customHeight="1" x14ac:dyDescent="0.25"/>
    <row r="1200" ht="30" customHeight="1" x14ac:dyDescent="0.25"/>
    <row r="1201" ht="30" customHeight="1" x14ac:dyDescent="0.25"/>
    <row r="1202" ht="30" customHeight="1" x14ac:dyDescent="0.25"/>
    <row r="1203" ht="30" customHeight="1" x14ac:dyDescent="0.25"/>
    <row r="1204" ht="30" customHeight="1" x14ac:dyDescent="0.25"/>
    <row r="1205" ht="30" customHeight="1" x14ac:dyDescent="0.25"/>
    <row r="1206" ht="30" customHeight="1" x14ac:dyDescent="0.25"/>
    <row r="1207" ht="30" customHeight="1" x14ac:dyDescent="0.25"/>
    <row r="1208" ht="30" customHeight="1" x14ac:dyDescent="0.25"/>
    <row r="1209" ht="30" customHeight="1" x14ac:dyDescent="0.25"/>
    <row r="1210" ht="30" customHeight="1" x14ac:dyDescent="0.25"/>
    <row r="1211" ht="30" customHeight="1" x14ac:dyDescent="0.25"/>
    <row r="1212" ht="30" customHeight="1" x14ac:dyDescent="0.25"/>
    <row r="1213" ht="30" customHeight="1" x14ac:dyDescent="0.25"/>
    <row r="1214" ht="30" customHeight="1" x14ac:dyDescent="0.25"/>
    <row r="1215" ht="30" customHeight="1" x14ac:dyDescent="0.25"/>
    <row r="1216" ht="30" customHeight="1" x14ac:dyDescent="0.25"/>
    <row r="1217" ht="30" customHeight="1" x14ac:dyDescent="0.25"/>
    <row r="1218" ht="30" customHeight="1" x14ac:dyDescent="0.25"/>
    <row r="1219" ht="30" customHeight="1" x14ac:dyDescent="0.25"/>
    <row r="1220" ht="30" customHeight="1" x14ac:dyDescent="0.25"/>
    <row r="1221" ht="30" customHeight="1" x14ac:dyDescent="0.25"/>
    <row r="1222" ht="30" customHeight="1" x14ac:dyDescent="0.25"/>
    <row r="1223" ht="30" customHeight="1" x14ac:dyDescent="0.25"/>
    <row r="1224" ht="30" customHeight="1" x14ac:dyDescent="0.25"/>
    <row r="1225" ht="30" customHeight="1" x14ac:dyDescent="0.25"/>
    <row r="1226" ht="30" customHeight="1" x14ac:dyDescent="0.25"/>
    <row r="1227" ht="30" customHeight="1" x14ac:dyDescent="0.25"/>
    <row r="1228" ht="30" customHeight="1" x14ac:dyDescent="0.25"/>
    <row r="1229" ht="30" customHeight="1" x14ac:dyDescent="0.25"/>
    <row r="1230" ht="30" customHeight="1" x14ac:dyDescent="0.25"/>
    <row r="1231" ht="30" customHeight="1" x14ac:dyDescent="0.25"/>
    <row r="1232" ht="30" customHeight="1" x14ac:dyDescent="0.25"/>
    <row r="1233" ht="30" customHeight="1" x14ac:dyDescent="0.25"/>
    <row r="1234" ht="30" customHeight="1" x14ac:dyDescent="0.25"/>
    <row r="1235" ht="30" customHeight="1" x14ac:dyDescent="0.25"/>
    <row r="1236" ht="30" customHeight="1" x14ac:dyDescent="0.25"/>
    <row r="1237" ht="30" customHeight="1" x14ac:dyDescent="0.25"/>
    <row r="1238" ht="30" customHeight="1" x14ac:dyDescent="0.25"/>
    <row r="1239" ht="30" customHeight="1" x14ac:dyDescent="0.25"/>
    <row r="1240" ht="30" customHeight="1" x14ac:dyDescent="0.25"/>
    <row r="1241" ht="30" customHeight="1" x14ac:dyDescent="0.25"/>
    <row r="1242" ht="30" customHeight="1" x14ac:dyDescent="0.25"/>
    <row r="1243" ht="30" customHeight="1" x14ac:dyDescent="0.25"/>
    <row r="1244" ht="30" customHeight="1" x14ac:dyDescent="0.25"/>
    <row r="1245" ht="30" customHeight="1" x14ac:dyDescent="0.25"/>
    <row r="1246" ht="30" customHeight="1" x14ac:dyDescent="0.25"/>
    <row r="1247" ht="30" customHeight="1" x14ac:dyDescent="0.25"/>
    <row r="1248" ht="30" customHeight="1" x14ac:dyDescent="0.25"/>
    <row r="1249" ht="30" customHeight="1" x14ac:dyDescent="0.25"/>
    <row r="1250" ht="30" customHeight="1" x14ac:dyDescent="0.25"/>
    <row r="1251" ht="30" customHeight="1" x14ac:dyDescent="0.25"/>
    <row r="1252" ht="30" customHeight="1" x14ac:dyDescent="0.25"/>
    <row r="1253" ht="30" customHeight="1" x14ac:dyDescent="0.25"/>
    <row r="1254" ht="30" customHeight="1" x14ac:dyDescent="0.25"/>
    <row r="1255" ht="30" customHeight="1" x14ac:dyDescent="0.25"/>
    <row r="1256" ht="30" customHeight="1" x14ac:dyDescent="0.25"/>
    <row r="1257" ht="30" customHeight="1" x14ac:dyDescent="0.25"/>
    <row r="1258" ht="30" customHeight="1" x14ac:dyDescent="0.25"/>
    <row r="1259" ht="30" customHeight="1" x14ac:dyDescent="0.25"/>
    <row r="1260" ht="30" customHeight="1" x14ac:dyDescent="0.25"/>
    <row r="1261" ht="30" customHeight="1" x14ac:dyDescent="0.25"/>
    <row r="1262" ht="30" customHeight="1" x14ac:dyDescent="0.25"/>
    <row r="1263" ht="30" customHeight="1" x14ac:dyDescent="0.25"/>
    <row r="1264" ht="30" customHeight="1" x14ac:dyDescent="0.25"/>
    <row r="1265" ht="30" customHeight="1" x14ac:dyDescent="0.25"/>
    <row r="1266" ht="30" customHeight="1" x14ac:dyDescent="0.25"/>
    <row r="1267" ht="30" customHeight="1" x14ac:dyDescent="0.25"/>
    <row r="1268" ht="30" customHeight="1" x14ac:dyDescent="0.25"/>
    <row r="1269" ht="30" customHeight="1" x14ac:dyDescent="0.25"/>
    <row r="1270" ht="30" customHeight="1" x14ac:dyDescent="0.25"/>
    <row r="1271" ht="30" customHeight="1" x14ac:dyDescent="0.25"/>
    <row r="1272" ht="30" customHeight="1" x14ac:dyDescent="0.25"/>
    <row r="1273" ht="30" customHeight="1" x14ac:dyDescent="0.25"/>
    <row r="1274" ht="30" customHeight="1" x14ac:dyDescent="0.25"/>
    <row r="1275" ht="30" customHeight="1" x14ac:dyDescent="0.25"/>
    <row r="1276" ht="30" customHeight="1" x14ac:dyDescent="0.25"/>
    <row r="1277" ht="30" customHeight="1" x14ac:dyDescent="0.25"/>
    <row r="1278" ht="30" customHeight="1" x14ac:dyDescent="0.25"/>
    <row r="1279" ht="30" customHeight="1" x14ac:dyDescent="0.25"/>
    <row r="1280" ht="30" customHeight="1" x14ac:dyDescent="0.25"/>
    <row r="1281" ht="30" customHeight="1" x14ac:dyDescent="0.25"/>
    <row r="1282" ht="30" customHeight="1" x14ac:dyDescent="0.25"/>
    <row r="1283" ht="30" customHeight="1" x14ac:dyDescent="0.25"/>
    <row r="1284" ht="30" customHeight="1" x14ac:dyDescent="0.25"/>
    <row r="1285" ht="30" customHeight="1" x14ac:dyDescent="0.25"/>
    <row r="1286" ht="30" customHeight="1" x14ac:dyDescent="0.25"/>
    <row r="1287" ht="30" customHeight="1" x14ac:dyDescent="0.25"/>
    <row r="1288" ht="30" customHeight="1" x14ac:dyDescent="0.25"/>
    <row r="1289" ht="30" customHeight="1" x14ac:dyDescent="0.25"/>
    <row r="1290" ht="30" customHeight="1" x14ac:dyDescent="0.25"/>
    <row r="1291" ht="30" customHeight="1" x14ac:dyDescent="0.25"/>
    <row r="1292" ht="30" customHeight="1" x14ac:dyDescent="0.25"/>
    <row r="1293" ht="30" customHeight="1" x14ac:dyDescent="0.25"/>
    <row r="1294" ht="30" customHeight="1" x14ac:dyDescent="0.25"/>
    <row r="1295" ht="30" customHeight="1" x14ac:dyDescent="0.25"/>
    <row r="1296" ht="30" customHeight="1" x14ac:dyDescent="0.25"/>
    <row r="1297" ht="30" customHeight="1" x14ac:dyDescent="0.25"/>
    <row r="1298" ht="30" customHeight="1" x14ac:dyDescent="0.25"/>
    <row r="1299" ht="30" customHeight="1" x14ac:dyDescent="0.25"/>
    <row r="1300" ht="30" customHeight="1" x14ac:dyDescent="0.25"/>
    <row r="1301" ht="30" customHeight="1" x14ac:dyDescent="0.25"/>
    <row r="1302" ht="30" customHeight="1" x14ac:dyDescent="0.25"/>
    <row r="1303" ht="30" customHeight="1" x14ac:dyDescent="0.25"/>
    <row r="1304" ht="30" customHeight="1" x14ac:dyDescent="0.25"/>
    <row r="1305" ht="30" customHeight="1" x14ac:dyDescent="0.25"/>
    <row r="1306" ht="30" customHeight="1" x14ac:dyDescent="0.25"/>
    <row r="1307" ht="30" customHeight="1" x14ac:dyDescent="0.25"/>
    <row r="1308" ht="30" customHeight="1" x14ac:dyDescent="0.25"/>
    <row r="1309" ht="30" customHeight="1" x14ac:dyDescent="0.25"/>
    <row r="1310" ht="30" customHeight="1" x14ac:dyDescent="0.25"/>
    <row r="1311" ht="30" customHeight="1" x14ac:dyDescent="0.25"/>
    <row r="1312" ht="30" customHeight="1" x14ac:dyDescent="0.25"/>
    <row r="1313" ht="30" customHeight="1" x14ac:dyDescent="0.25"/>
    <row r="1314" ht="30" customHeight="1" x14ac:dyDescent="0.25"/>
    <row r="1315" ht="30" customHeight="1" x14ac:dyDescent="0.25"/>
    <row r="1316" ht="30" customHeight="1" x14ac:dyDescent="0.25"/>
    <row r="1317" ht="30" customHeight="1" x14ac:dyDescent="0.25"/>
    <row r="1318" ht="30" customHeight="1" x14ac:dyDescent="0.25"/>
    <row r="1319" ht="30" customHeight="1" x14ac:dyDescent="0.25"/>
    <row r="1320" ht="30" customHeight="1" x14ac:dyDescent="0.25"/>
    <row r="1321" ht="30" customHeight="1" x14ac:dyDescent="0.25"/>
    <row r="1322" ht="30" customHeight="1" x14ac:dyDescent="0.25"/>
    <row r="1323" ht="30" customHeight="1" x14ac:dyDescent="0.25"/>
    <row r="1324" ht="30" customHeight="1" x14ac:dyDescent="0.25"/>
    <row r="1325" ht="30" customHeight="1" x14ac:dyDescent="0.25"/>
    <row r="1326" ht="30" customHeight="1" x14ac:dyDescent="0.25"/>
    <row r="1327" ht="30" customHeight="1" x14ac:dyDescent="0.25"/>
    <row r="1328" ht="30" customHeight="1" x14ac:dyDescent="0.25"/>
    <row r="1329" ht="30" customHeight="1" x14ac:dyDescent="0.25"/>
    <row r="1330" ht="30" customHeight="1" x14ac:dyDescent="0.25"/>
    <row r="1331" ht="30" customHeight="1" x14ac:dyDescent="0.25"/>
    <row r="1332" ht="30" customHeight="1" x14ac:dyDescent="0.25"/>
    <row r="1333" ht="30" customHeight="1" x14ac:dyDescent="0.25"/>
    <row r="1334" ht="30" customHeight="1" x14ac:dyDescent="0.25"/>
    <row r="1335" ht="30" customHeight="1" x14ac:dyDescent="0.25"/>
    <row r="1336" ht="30" customHeight="1" x14ac:dyDescent="0.25"/>
    <row r="1337" ht="30" customHeight="1" x14ac:dyDescent="0.25"/>
    <row r="1338" ht="30" customHeight="1" x14ac:dyDescent="0.25"/>
    <row r="1339" ht="30" customHeight="1" x14ac:dyDescent="0.25"/>
    <row r="1340" ht="30" customHeight="1" x14ac:dyDescent="0.25"/>
    <row r="1341" ht="30" customHeight="1" x14ac:dyDescent="0.25"/>
    <row r="1342" ht="30" customHeight="1" x14ac:dyDescent="0.25"/>
    <row r="1343" ht="30" customHeight="1" x14ac:dyDescent="0.25"/>
    <row r="1344" ht="30" customHeight="1" x14ac:dyDescent="0.25"/>
    <row r="1345" ht="30" customHeight="1" x14ac:dyDescent="0.25"/>
    <row r="1346" ht="30" customHeight="1" x14ac:dyDescent="0.25"/>
    <row r="1347" ht="30" customHeight="1" x14ac:dyDescent="0.25"/>
    <row r="1348" ht="30" customHeight="1" x14ac:dyDescent="0.25"/>
    <row r="1349" ht="30" customHeight="1" x14ac:dyDescent="0.25"/>
    <row r="1350" ht="30" customHeight="1" x14ac:dyDescent="0.25"/>
    <row r="1351" ht="30" customHeight="1" x14ac:dyDescent="0.25"/>
    <row r="1352" ht="30" customHeight="1" x14ac:dyDescent="0.25"/>
    <row r="1353" ht="30" customHeight="1" x14ac:dyDescent="0.25"/>
    <row r="1354" ht="30" customHeight="1" x14ac:dyDescent="0.25"/>
    <row r="1355" ht="30" customHeight="1" x14ac:dyDescent="0.25"/>
    <row r="1356" ht="30" customHeight="1" x14ac:dyDescent="0.25"/>
    <row r="1357" ht="30" customHeight="1" x14ac:dyDescent="0.25"/>
    <row r="1358" ht="30" customHeight="1" x14ac:dyDescent="0.25"/>
    <row r="1359" ht="30" customHeight="1" x14ac:dyDescent="0.25"/>
    <row r="1360" ht="30" customHeight="1" x14ac:dyDescent="0.25"/>
    <row r="1361" ht="30" customHeight="1" x14ac:dyDescent="0.25"/>
    <row r="1362" ht="30" customHeight="1" x14ac:dyDescent="0.25"/>
    <row r="1363" ht="30" customHeight="1" x14ac:dyDescent="0.25"/>
    <row r="1364" ht="30" customHeight="1" x14ac:dyDescent="0.25"/>
    <row r="1365" ht="30" customHeight="1" x14ac:dyDescent="0.25"/>
    <row r="1366" ht="30" customHeight="1" x14ac:dyDescent="0.25"/>
    <row r="1367" ht="30" customHeight="1" x14ac:dyDescent="0.25"/>
    <row r="1368" ht="30" customHeight="1" x14ac:dyDescent="0.25"/>
    <row r="1369" ht="30" customHeight="1" x14ac:dyDescent="0.25"/>
    <row r="1370" ht="30" customHeight="1" x14ac:dyDescent="0.25"/>
    <row r="1371" ht="30" customHeight="1" x14ac:dyDescent="0.25"/>
    <row r="1372" ht="30" customHeight="1" x14ac:dyDescent="0.25"/>
    <row r="1373" ht="30" customHeight="1" x14ac:dyDescent="0.25"/>
    <row r="1374" ht="30" customHeight="1" x14ac:dyDescent="0.25"/>
    <row r="1375" ht="30" customHeight="1" x14ac:dyDescent="0.25"/>
    <row r="1376" ht="30" customHeight="1" x14ac:dyDescent="0.25"/>
    <row r="1377" ht="30" customHeight="1" x14ac:dyDescent="0.25"/>
    <row r="1378" ht="30" customHeight="1" x14ac:dyDescent="0.25"/>
    <row r="1379" ht="30" customHeight="1" x14ac:dyDescent="0.25"/>
    <row r="1380" ht="30" customHeight="1" x14ac:dyDescent="0.25"/>
    <row r="1381" ht="30" customHeight="1" x14ac:dyDescent="0.25"/>
    <row r="1382" ht="30" customHeight="1" x14ac:dyDescent="0.25"/>
    <row r="1383" ht="30" customHeight="1" x14ac:dyDescent="0.25"/>
    <row r="1384" ht="30" customHeight="1" x14ac:dyDescent="0.25"/>
    <row r="1385" ht="30" customHeight="1" x14ac:dyDescent="0.25"/>
    <row r="1386" ht="30" customHeight="1" x14ac:dyDescent="0.25"/>
    <row r="1387" ht="30" customHeight="1" x14ac:dyDescent="0.25"/>
    <row r="1388" ht="30" customHeight="1" x14ac:dyDescent="0.25"/>
    <row r="1389" ht="30" customHeight="1" x14ac:dyDescent="0.25"/>
    <row r="1390" ht="30" customHeight="1" x14ac:dyDescent="0.25"/>
    <row r="1391" ht="30" customHeight="1" x14ac:dyDescent="0.25"/>
    <row r="1392" ht="30" customHeight="1" x14ac:dyDescent="0.25"/>
    <row r="1393" ht="30" customHeight="1" x14ac:dyDescent="0.25"/>
    <row r="1394" ht="30" customHeight="1" x14ac:dyDescent="0.25"/>
    <row r="1395" ht="30" customHeight="1" x14ac:dyDescent="0.25"/>
    <row r="1396" ht="30" customHeight="1" x14ac:dyDescent="0.25"/>
    <row r="1397" ht="30" customHeight="1" x14ac:dyDescent="0.25"/>
    <row r="1398" ht="30" customHeight="1" x14ac:dyDescent="0.25"/>
    <row r="1399" ht="30" customHeight="1" x14ac:dyDescent="0.25"/>
    <row r="1400" ht="30" customHeight="1" x14ac:dyDescent="0.25"/>
    <row r="1401" ht="30" customHeight="1" x14ac:dyDescent="0.25"/>
    <row r="1402" ht="30" customHeight="1" x14ac:dyDescent="0.25"/>
    <row r="1403" ht="30" customHeight="1" x14ac:dyDescent="0.25"/>
    <row r="1404" ht="30" customHeight="1" x14ac:dyDescent="0.25"/>
    <row r="1405" ht="30" customHeight="1" x14ac:dyDescent="0.25"/>
    <row r="1406" ht="30" customHeight="1" x14ac:dyDescent="0.25"/>
    <row r="1407" ht="30" customHeight="1" x14ac:dyDescent="0.25"/>
    <row r="1408" ht="30" customHeight="1" x14ac:dyDescent="0.25"/>
    <row r="1409" ht="30" customHeight="1" x14ac:dyDescent="0.25"/>
    <row r="1410" ht="30" customHeight="1" x14ac:dyDescent="0.25"/>
    <row r="1411" ht="30" customHeight="1" x14ac:dyDescent="0.25"/>
    <row r="1412" ht="30" customHeight="1" x14ac:dyDescent="0.25"/>
    <row r="1413" ht="30" customHeight="1" x14ac:dyDescent="0.25"/>
    <row r="1414" ht="30" customHeight="1" x14ac:dyDescent="0.25"/>
    <row r="1415" ht="30" customHeight="1" x14ac:dyDescent="0.25"/>
    <row r="1416" ht="30" customHeight="1" x14ac:dyDescent="0.25"/>
    <row r="1417" ht="30" customHeight="1" x14ac:dyDescent="0.25"/>
    <row r="1418" ht="30" customHeight="1" x14ac:dyDescent="0.25"/>
    <row r="1419" ht="30" customHeight="1" x14ac:dyDescent="0.25"/>
    <row r="1420" ht="30" customHeight="1" x14ac:dyDescent="0.25"/>
    <row r="1421" ht="30" customHeight="1" x14ac:dyDescent="0.25"/>
    <row r="1422" ht="30" customHeight="1" x14ac:dyDescent="0.25"/>
    <row r="1423" ht="30" customHeight="1" x14ac:dyDescent="0.25"/>
    <row r="1424" ht="30" customHeight="1" x14ac:dyDescent="0.25"/>
    <row r="1425" ht="30" customHeight="1" x14ac:dyDescent="0.25"/>
    <row r="1426" ht="30" customHeight="1" x14ac:dyDescent="0.25"/>
    <row r="1427" ht="30" customHeight="1" x14ac:dyDescent="0.25"/>
    <row r="1428" ht="30" customHeight="1" x14ac:dyDescent="0.25"/>
    <row r="1429" ht="30" customHeight="1" x14ac:dyDescent="0.25"/>
    <row r="1430" ht="30" customHeight="1" x14ac:dyDescent="0.25"/>
    <row r="1431" ht="30" customHeight="1" x14ac:dyDescent="0.25"/>
    <row r="1432" ht="30" customHeight="1" x14ac:dyDescent="0.25"/>
    <row r="1433" ht="30" customHeight="1" x14ac:dyDescent="0.25"/>
    <row r="1434" ht="30" customHeight="1" x14ac:dyDescent="0.25"/>
    <row r="1435" ht="30" customHeight="1" x14ac:dyDescent="0.25"/>
    <row r="1436" ht="30" customHeight="1" x14ac:dyDescent="0.25"/>
    <row r="1437" ht="30" customHeight="1" x14ac:dyDescent="0.25"/>
    <row r="1438" ht="30" customHeight="1" x14ac:dyDescent="0.25"/>
    <row r="1439" ht="30" customHeight="1" x14ac:dyDescent="0.25"/>
    <row r="1440" ht="30" customHeight="1" x14ac:dyDescent="0.25"/>
    <row r="1441" ht="30" customHeight="1" x14ac:dyDescent="0.25"/>
    <row r="1442" ht="30" customHeight="1" x14ac:dyDescent="0.25"/>
    <row r="1443" ht="30" customHeight="1" x14ac:dyDescent="0.25"/>
    <row r="1444" ht="30" customHeight="1" x14ac:dyDescent="0.25"/>
    <row r="1445" ht="30" customHeight="1" x14ac:dyDescent="0.25"/>
    <row r="1446" ht="30" customHeight="1" x14ac:dyDescent="0.25"/>
    <row r="1447" ht="30" customHeight="1" x14ac:dyDescent="0.25"/>
    <row r="1448" ht="30" customHeight="1" x14ac:dyDescent="0.25"/>
    <row r="1449" ht="30" customHeight="1" x14ac:dyDescent="0.25"/>
    <row r="1450" ht="30" customHeight="1" x14ac:dyDescent="0.25"/>
    <row r="1451" ht="30" customHeight="1" x14ac:dyDescent="0.25"/>
    <row r="1452" ht="30" customHeight="1" x14ac:dyDescent="0.25"/>
    <row r="1453" ht="30" customHeight="1" x14ac:dyDescent="0.25"/>
    <row r="1454" ht="30" customHeight="1" x14ac:dyDescent="0.25"/>
    <row r="1455" ht="30" customHeight="1" x14ac:dyDescent="0.25"/>
    <row r="1456" ht="30" customHeight="1" x14ac:dyDescent="0.25"/>
    <row r="1457" ht="30" customHeight="1" x14ac:dyDescent="0.25"/>
    <row r="1458" ht="30" customHeight="1" x14ac:dyDescent="0.25"/>
    <row r="1459" ht="30" customHeight="1" x14ac:dyDescent="0.25"/>
    <row r="1460" ht="30" customHeight="1" x14ac:dyDescent="0.25"/>
    <row r="1461" ht="30" customHeight="1" x14ac:dyDescent="0.25"/>
    <row r="1462" ht="30" customHeight="1" x14ac:dyDescent="0.25"/>
    <row r="1463" ht="30" customHeight="1" x14ac:dyDescent="0.25"/>
    <row r="1464" ht="30" customHeight="1" x14ac:dyDescent="0.25"/>
    <row r="1465" ht="30" customHeight="1" x14ac:dyDescent="0.25"/>
    <row r="1466" ht="30" customHeight="1" x14ac:dyDescent="0.25"/>
    <row r="1467" ht="30" customHeight="1" x14ac:dyDescent="0.25"/>
    <row r="1468" ht="30" customHeight="1" x14ac:dyDescent="0.25"/>
    <row r="1469" ht="30" customHeight="1" x14ac:dyDescent="0.25"/>
    <row r="1470" ht="30" customHeight="1" x14ac:dyDescent="0.25"/>
    <row r="1471" ht="30" customHeight="1" x14ac:dyDescent="0.25"/>
    <row r="1472" ht="30" customHeight="1" x14ac:dyDescent="0.25"/>
    <row r="1473" ht="30" customHeight="1" x14ac:dyDescent="0.25"/>
    <row r="1474" ht="30" customHeight="1" x14ac:dyDescent="0.25"/>
    <row r="1475" ht="30" customHeight="1" x14ac:dyDescent="0.25"/>
    <row r="1476" ht="30" customHeight="1" x14ac:dyDescent="0.25"/>
    <row r="1477" ht="30" customHeight="1" x14ac:dyDescent="0.25"/>
    <row r="1478" ht="30" customHeight="1" x14ac:dyDescent="0.25"/>
    <row r="1479" ht="30" customHeight="1" x14ac:dyDescent="0.25"/>
    <row r="1480" ht="30" customHeight="1" x14ac:dyDescent="0.25"/>
    <row r="1481" ht="30" customHeight="1" x14ac:dyDescent="0.25"/>
    <row r="1482" ht="30" customHeight="1" x14ac:dyDescent="0.25"/>
    <row r="1483" ht="30" customHeight="1" x14ac:dyDescent="0.25"/>
    <row r="1484" ht="30" customHeight="1" x14ac:dyDescent="0.25"/>
    <row r="1485" ht="30" customHeight="1" x14ac:dyDescent="0.25"/>
    <row r="1486" ht="30" customHeight="1" x14ac:dyDescent="0.25"/>
    <row r="1487" ht="30" customHeight="1" x14ac:dyDescent="0.25"/>
    <row r="1488" ht="30" customHeight="1" x14ac:dyDescent="0.25"/>
    <row r="1489" ht="30" customHeight="1" x14ac:dyDescent="0.25"/>
    <row r="1490" ht="30" customHeight="1" x14ac:dyDescent="0.25"/>
    <row r="1491" ht="30" customHeight="1" x14ac:dyDescent="0.25"/>
    <row r="1492" ht="30" customHeight="1" x14ac:dyDescent="0.25"/>
    <row r="1493" ht="30" customHeight="1" x14ac:dyDescent="0.25"/>
    <row r="1494" ht="30" customHeight="1" x14ac:dyDescent="0.25"/>
    <row r="1495" ht="30" customHeight="1" x14ac:dyDescent="0.25"/>
    <row r="1496" ht="30" customHeight="1" x14ac:dyDescent="0.25"/>
    <row r="1497" ht="30" customHeight="1" x14ac:dyDescent="0.25"/>
    <row r="1498" ht="30" customHeight="1" x14ac:dyDescent="0.25"/>
    <row r="1499" ht="30" customHeight="1" x14ac:dyDescent="0.25"/>
    <row r="1500" ht="30" customHeight="1" x14ac:dyDescent="0.25"/>
    <row r="1501" ht="30" customHeight="1" x14ac:dyDescent="0.25"/>
    <row r="1502" ht="30" customHeight="1" x14ac:dyDescent="0.25"/>
    <row r="1503" ht="30" customHeight="1" x14ac:dyDescent="0.25"/>
    <row r="1504" ht="30" customHeight="1" x14ac:dyDescent="0.25"/>
    <row r="1505" ht="30" customHeight="1" x14ac:dyDescent="0.25"/>
    <row r="1506" ht="30" customHeight="1" x14ac:dyDescent="0.25"/>
    <row r="1507" ht="30" customHeight="1" x14ac:dyDescent="0.25"/>
    <row r="1508" ht="30" customHeight="1" x14ac:dyDescent="0.25"/>
    <row r="1509" ht="30" customHeight="1" x14ac:dyDescent="0.25"/>
    <row r="1510" ht="30" customHeight="1" x14ac:dyDescent="0.25"/>
    <row r="1511" ht="30" customHeight="1" x14ac:dyDescent="0.25"/>
    <row r="1512" ht="30" customHeight="1" x14ac:dyDescent="0.25"/>
    <row r="1513" ht="30" customHeight="1" x14ac:dyDescent="0.25"/>
    <row r="1514" ht="30" customHeight="1" x14ac:dyDescent="0.25"/>
    <row r="1515" ht="30" customHeight="1" x14ac:dyDescent="0.25"/>
    <row r="1516" ht="30" customHeight="1" x14ac:dyDescent="0.25"/>
    <row r="1517" ht="30" customHeight="1" x14ac:dyDescent="0.25"/>
    <row r="1518" ht="30" customHeight="1" x14ac:dyDescent="0.25"/>
    <row r="1519" ht="30" customHeight="1" x14ac:dyDescent="0.25"/>
    <row r="1520" ht="30" customHeight="1" x14ac:dyDescent="0.25"/>
    <row r="1521" ht="30" customHeight="1" x14ac:dyDescent="0.25"/>
    <row r="1522" ht="30" customHeight="1" x14ac:dyDescent="0.25"/>
    <row r="1523" ht="30" customHeight="1" x14ac:dyDescent="0.25"/>
    <row r="1524" ht="30" customHeight="1" x14ac:dyDescent="0.25"/>
    <row r="1525" ht="30" customHeight="1" x14ac:dyDescent="0.25"/>
    <row r="1526" ht="30" customHeight="1" x14ac:dyDescent="0.25"/>
    <row r="1527" ht="30" customHeight="1" x14ac:dyDescent="0.25"/>
    <row r="1528" ht="30" customHeight="1" x14ac:dyDescent="0.25"/>
    <row r="1529" ht="30" customHeight="1" x14ac:dyDescent="0.25"/>
    <row r="1530" ht="30" customHeight="1" x14ac:dyDescent="0.25"/>
    <row r="1531" ht="30" customHeight="1" x14ac:dyDescent="0.25"/>
    <row r="1532" ht="30" customHeight="1" x14ac:dyDescent="0.25"/>
    <row r="1533" ht="30" customHeight="1" x14ac:dyDescent="0.25"/>
    <row r="1534" ht="30" customHeight="1" x14ac:dyDescent="0.25"/>
    <row r="1535" ht="30" customHeight="1" x14ac:dyDescent="0.25"/>
    <row r="1536" ht="30" customHeight="1" x14ac:dyDescent="0.25"/>
    <row r="1537" ht="30" customHeight="1" x14ac:dyDescent="0.25"/>
    <row r="1538" ht="30" customHeight="1" x14ac:dyDescent="0.25"/>
    <row r="1539" ht="30" customHeight="1" x14ac:dyDescent="0.25"/>
    <row r="1540" ht="30" customHeight="1" x14ac:dyDescent="0.25"/>
    <row r="1541" ht="30" customHeight="1" x14ac:dyDescent="0.25"/>
    <row r="1542" ht="30" customHeight="1" x14ac:dyDescent="0.25"/>
    <row r="1543" ht="30" customHeight="1" x14ac:dyDescent="0.25"/>
    <row r="1544" ht="30" customHeight="1" x14ac:dyDescent="0.25"/>
    <row r="1545" ht="30" customHeight="1" x14ac:dyDescent="0.25"/>
    <row r="1546" ht="30" customHeight="1" x14ac:dyDescent="0.25"/>
    <row r="1547" ht="30" customHeight="1" x14ac:dyDescent="0.25"/>
    <row r="1548" ht="30" customHeight="1" x14ac:dyDescent="0.25"/>
    <row r="1549" ht="30" customHeight="1" x14ac:dyDescent="0.25"/>
    <row r="1550" ht="30" customHeight="1" x14ac:dyDescent="0.25"/>
    <row r="1551" ht="30" customHeight="1" x14ac:dyDescent="0.25"/>
    <row r="1552" ht="30" customHeight="1" x14ac:dyDescent="0.25"/>
    <row r="1553" ht="30" customHeight="1" x14ac:dyDescent="0.25"/>
    <row r="1554" ht="30" customHeight="1" x14ac:dyDescent="0.25"/>
    <row r="1555" ht="30" customHeight="1" x14ac:dyDescent="0.25"/>
    <row r="1556" ht="30" customHeight="1" x14ac:dyDescent="0.25"/>
    <row r="1557" ht="30" customHeight="1" x14ac:dyDescent="0.25"/>
    <row r="1558" ht="30" customHeight="1" x14ac:dyDescent="0.25"/>
    <row r="1559" ht="30" customHeight="1" x14ac:dyDescent="0.25"/>
    <row r="1560" ht="30" customHeight="1" x14ac:dyDescent="0.25"/>
    <row r="1561" ht="30" customHeight="1" x14ac:dyDescent="0.25"/>
    <row r="1562" ht="30" customHeight="1" x14ac:dyDescent="0.25"/>
    <row r="1563" ht="30" customHeight="1" x14ac:dyDescent="0.25"/>
    <row r="1564" ht="30" customHeight="1" x14ac:dyDescent="0.25"/>
    <row r="1565" ht="30" customHeight="1" x14ac:dyDescent="0.25"/>
    <row r="1566" ht="30" customHeight="1" x14ac:dyDescent="0.25"/>
    <row r="1567" ht="30" customHeight="1" x14ac:dyDescent="0.25"/>
    <row r="1568" ht="30" customHeight="1" x14ac:dyDescent="0.25"/>
    <row r="1569" ht="30" customHeight="1" x14ac:dyDescent="0.25"/>
    <row r="1570" ht="30" customHeight="1" x14ac:dyDescent="0.25"/>
    <row r="1571" ht="30" customHeight="1" x14ac:dyDescent="0.25"/>
    <row r="1572" ht="30" customHeight="1" x14ac:dyDescent="0.25"/>
    <row r="1573" ht="30" customHeight="1" x14ac:dyDescent="0.25"/>
    <row r="1574" ht="30" customHeight="1" x14ac:dyDescent="0.25"/>
    <row r="1575" ht="30" customHeight="1" x14ac:dyDescent="0.25"/>
    <row r="1576" ht="30" customHeight="1" x14ac:dyDescent="0.25"/>
    <row r="1577" ht="30" customHeight="1" x14ac:dyDescent="0.25"/>
    <row r="1578" ht="30" customHeight="1" x14ac:dyDescent="0.25"/>
    <row r="1579" ht="30" customHeight="1" x14ac:dyDescent="0.25"/>
    <row r="1580" ht="30" customHeight="1" x14ac:dyDescent="0.25"/>
    <row r="1581" ht="30" customHeight="1" x14ac:dyDescent="0.25"/>
    <row r="1582" ht="30" customHeight="1" x14ac:dyDescent="0.25"/>
    <row r="1583" ht="30" customHeight="1" x14ac:dyDescent="0.25"/>
    <row r="1584" ht="30" customHeight="1" x14ac:dyDescent="0.25"/>
    <row r="1585" ht="30" customHeight="1" x14ac:dyDescent="0.25"/>
    <row r="1586" ht="30" customHeight="1" x14ac:dyDescent="0.25"/>
    <row r="1587" ht="30" customHeight="1" x14ac:dyDescent="0.25"/>
    <row r="1588" ht="30" customHeight="1" x14ac:dyDescent="0.25"/>
    <row r="1589" ht="30" customHeight="1" x14ac:dyDescent="0.25"/>
    <row r="1590" ht="30" customHeight="1" x14ac:dyDescent="0.25"/>
    <row r="1591" ht="30" customHeight="1" x14ac:dyDescent="0.25"/>
    <row r="1592" ht="30" customHeight="1" x14ac:dyDescent="0.25"/>
    <row r="1593" ht="30" customHeight="1" x14ac:dyDescent="0.25"/>
    <row r="1594" ht="30" customHeight="1" x14ac:dyDescent="0.25"/>
    <row r="1595" ht="30" customHeight="1" x14ac:dyDescent="0.25"/>
    <row r="1596" ht="30" customHeight="1" x14ac:dyDescent="0.25"/>
    <row r="1597" ht="30" customHeight="1" x14ac:dyDescent="0.25"/>
    <row r="1598" ht="30" customHeight="1" x14ac:dyDescent="0.25"/>
    <row r="1599" ht="30" customHeight="1" x14ac:dyDescent="0.25"/>
    <row r="1600" ht="30" customHeight="1" x14ac:dyDescent="0.25"/>
    <row r="1601" ht="30" customHeight="1" x14ac:dyDescent="0.25"/>
    <row r="1602" ht="30" customHeight="1" x14ac:dyDescent="0.25"/>
    <row r="1603" ht="30" customHeight="1" x14ac:dyDescent="0.25"/>
    <row r="1604" ht="30" customHeight="1" x14ac:dyDescent="0.25"/>
    <row r="1605" ht="30" customHeight="1" x14ac:dyDescent="0.25"/>
    <row r="1606" ht="30" customHeight="1" x14ac:dyDescent="0.25"/>
    <row r="1607" ht="30" customHeight="1" x14ac:dyDescent="0.25"/>
    <row r="1608" ht="30" customHeight="1" x14ac:dyDescent="0.25"/>
    <row r="1609" ht="30" customHeight="1" x14ac:dyDescent="0.25"/>
    <row r="1610" ht="30" customHeight="1" x14ac:dyDescent="0.25"/>
    <row r="1611" ht="30" customHeight="1" x14ac:dyDescent="0.25"/>
    <row r="1612" ht="30" customHeight="1" x14ac:dyDescent="0.25"/>
    <row r="1613" ht="30" customHeight="1" x14ac:dyDescent="0.25"/>
    <row r="1614" ht="30" customHeight="1" x14ac:dyDescent="0.25"/>
    <row r="1615" ht="30" customHeight="1" x14ac:dyDescent="0.25"/>
    <row r="1616" ht="30" customHeight="1" x14ac:dyDescent="0.25"/>
    <row r="1617" ht="30" customHeight="1" x14ac:dyDescent="0.25"/>
    <row r="1618" ht="30" customHeight="1" x14ac:dyDescent="0.25"/>
    <row r="1619" ht="30" customHeight="1" x14ac:dyDescent="0.25"/>
    <row r="1620" ht="30" customHeight="1" x14ac:dyDescent="0.25"/>
    <row r="1621" ht="30" customHeight="1" x14ac:dyDescent="0.25"/>
    <row r="1622" ht="30" customHeight="1" x14ac:dyDescent="0.25"/>
    <row r="1623" ht="30" customHeight="1" x14ac:dyDescent="0.25"/>
    <row r="1624" ht="30" customHeight="1" x14ac:dyDescent="0.25"/>
    <row r="1625" ht="30" customHeight="1" x14ac:dyDescent="0.25"/>
    <row r="1626" ht="30" customHeight="1" x14ac:dyDescent="0.25"/>
    <row r="1627" ht="30" customHeight="1" x14ac:dyDescent="0.25"/>
    <row r="1628" ht="30" customHeight="1" x14ac:dyDescent="0.25"/>
    <row r="1629" ht="30" customHeight="1" x14ac:dyDescent="0.25"/>
    <row r="1630" ht="30" customHeight="1" x14ac:dyDescent="0.25"/>
    <row r="1631" ht="30" customHeight="1" x14ac:dyDescent="0.25"/>
    <row r="1632" ht="30" customHeight="1" x14ac:dyDescent="0.25"/>
    <row r="1633" ht="30" customHeight="1" x14ac:dyDescent="0.25"/>
    <row r="1634" ht="30" customHeight="1" x14ac:dyDescent="0.25"/>
    <row r="1635" ht="30" customHeight="1" x14ac:dyDescent="0.25"/>
    <row r="1636" ht="30" customHeight="1" x14ac:dyDescent="0.25"/>
    <row r="1637" ht="30" customHeight="1" x14ac:dyDescent="0.25"/>
    <row r="1638" ht="30" customHeight="1" x14ac:dyDescent="0.25"/>
    <row r="1639" ht="30" customHeight="1" x14ac:dyDescent="0.25"/>
    <row r="1640" ht="30" customHeight="1" x14ac:dyDescent="0.25"/>
    <row r="1641" ht="30" customHeight="1" x14ac:dyDescent="0.25"/>
    <row r="1642" ht="30" customHeight="1" x14ac:dyDescent="0.25"/>
    <row r="1643" ht="30" customHeight="1" x14ac:dyDescent="0.25"/>
    <row r="1644" ht="30" customHeight="1" x14ac:dyDescent="0.25"/>
    <row r="1645" ht="30" customHeight="1" x14ac:dyDescent="0.25"/>
    <row r="1646" ht="30" customHeight="1" x14ac:dyDescent="0.25"/>
    <row r="1647" ht="30" customHeight="1" x14ac:dyDescent="0.25"/>
    <row r="1648" ht="30" customHeight="1" x14ac:dyDescent="0.25"/>
    <row r="1649" ht="30" customHeight="1" x14ac:dyDescent="0.25"/>
    <row r="1650" ht="30" customHeight="1" x14ac:dyDescent="0.25"/>
    <row r="1651" ht="30" customHeight="1" x14ac:dyDescent="0.25"/>
    <row r="1652" ht="30" customHeight="1" x14ac:dyDescent="0.25"/>
    <row r="1653" ht="30" customHeight="1" x14ac:dyDescent="0.25"/>
    <row r="1654" ht="30" customHeight="1" x14ac:dyDescent="0.25"/>
    <row r="1655" ht="30" customHeight="1" x14ac:dyDescent="0.25"/>
    <row r="1656" ht="30" customHeight="1" x14ac:dyDescent="0.25"/>
    <row r="1657" ht="30" customHeight="1" x14ac:dyDescent="0.25"/>
    <row r="1658" ht="30" customHeight="1" x14ac:dyDescent="0.25"/>
    <row r="1659" ht="30" customHeight="1" x14ac:dyDescent="0.25"/>
    <row r="1660" ht="30" customHeight="1" x14ac:dyDescent="0.25"/>
    <row r="1661" ht="30" customHeight="1" x14ac:dyDescent="0.25"/>
    <row r="1662" ht="30" customHeight="1" x14ac:dyDescent="0.25"/>
    <row r="1663" ht="30" customHeight="1" x14ac:dyDescent="0.25"/>
    <row r="1664" ht="30" customHeight="1" x14ac:dyDescent="0.25"/>
    <row r="1665" ht="30" customHeight="1" x14ac:dyDescent="0.25"/>
    <row r="1666" ht="30" customHeight="1" x14ac:dyDescent="0.25"/>
    <row r="1667" ht="30" customHeight="1" x14ac:dyDescent="0.25"/>
    <row r="1668" ht="30" customHeight="1" x14ac:dyDescent="0.25"/>
    <row r="1669" ht="30" customHeight="1" x14ac:dyDescent="0.25"/>
    <row r="1670" ht="30" customHeight="1" x14ac:dyDescent="0.25"/>
    <row r="1671" ht="30" customHeight="1" x14ac:dyDescent="0.25"/>
    <row r="1672" ht="30" customHeight="1" x14ac:dyDescent="0.25"/>
    <row r="1673" ht="30" customHeight="1" x14ac:dyDescent="0.25"/>
    <row r="1674" ht="30" customHeight="1" x14ac:dyDescent="0.25"/>
    <row r="1675" ht="30" customHeight="1" x14ac:dyDescent="0.25"/>
    <row r="1676" ht="30" customHeight="1" x14ac:dyDescent="0.25"/>
    <row r="1677" ht="30" customHeight="1" x14ac:dyDescent="0.25"/>
    <row r="1678" ht="30" customHeight="1" x14ac:dyDescent="0.25"/>
    <row r="1679" ht="30" customHeight="1" x14ac:dyDescent="0.25"/>
    <row r="1680" ht="30" customHeight="1" x14ac:dyDescent="0.25"/>
    <row r="1681" ht="30" customHeight="1" x14ac:dyDescent="0.25"/>
    <row r="1682" ht="30" customHeight="1" x14ac:dyDescent="0.25"/>
    <row r="1683" ht="30" customHeight="1" x14ac:dyDescent="0.25"/>
    <row r="1684" ht="30" customHeight="1" x14ac:dyDescent="0.25"/>
    <row r="1685" ht="30" customHeight="1" x14ac:dyDescent="0.25"/>
    <row r="1686" ht="30" customHeight="1" x14ac:dyDescent="0.25"/>
    <row r="1687" ht="30" customHeight="1" x14ac:dyDescent="0.25"/>
    <row r="1688" ht="30" customHeight="1" x14ac:dyDescent="0.25"/>
    <row r="1689" ht="30" customHeight="1" x14ac:dyDescent="0.25"/>
    <row r="1690" ht="30" customHeight="1" x14ac:dyDescent="0.25"/>
    <row r="1691" ht="30" customHeight="1" x14ac:dyDescent="0.25"/>
    <row r="1692" ht="30" customHeight="1" x14ac:dyDescent="0.25"/>
    <row r="1693" ht="30" customHeight="1" x14ac:dyDescent="0.25"/>
    <row r="1694" ht="30" customHeight="1" x14ac:dyDescent="0.25"/>
    <row r="1695" ht="30" customHeight="1" x14ac:dyDescent="0.25"/>
    <row r="1696" ht="30" customHeight="1" x14ac:dyDescent="0.25"/>
    <row r="1697" ht="30" customHeight="1" x14ac:dyDescent="0.25"/>
    <row r="1698" ht="30" customHeight="1" x14ac:dyDescent="0.25"/>
    <row r="1699" ht="30" customHeight="1" x14ac:dyDescent="0.25"/>
    <row r="1700" ht="30" customHeight="1" x14ac:dyDescent="0.25"/>
    <row r="1701" ht="30" customHeight="1" x14ac:dyDescent="0.25"/>
    <row r="1702" ht="30" customHeight="1" x14ac:dyDescent="0.25"/>
    <row r="1703" ht="30" customHeight="1" x14ac:dyDescent="0.25"/>
    <row r="1704" ht="30" customHeight="1" x14ac:dyDescent="0.25"/>
    <row r="1705" ht="30" customHeight="1" x14ac:dyDescent="0.25"/>
    <row r="1706" ht="30" customHeight="1" x14ac:dyDescent="0.25"/>
    <row r="1707" ht="30" customHeight="1" x14ac:dyDescent="0.25"/>
    <row r="1708" ht="30" customHeight="1" x14ac:dyDescent="0.25"/>
    <row r="1709" ht="30" customHeight="1" x14ac:dyDescent="0.25"/>
    <row r="1710" ht="30" customHeight="1" x14ac:dyDescent="0.25"/>
    <row r="1711" ht="30" customHeight="1" x14ac:dyDescent="0.25"/>
    <row r="1712" ht="30" customHeight="1" x14ac:dyDescent="0.25"/>
    <row r="1713" ht="30" customHeight="1" x14ac:dyDescent="0.25"/>
    <row r="1714" ht="30" customHeight="1" x14ac:dyDescent="0.25"/>
    <row r="1715" ht="30" customHeight="1" x14ac:dyDescent="0.25"/>
    <row r="1716" ht="30" customHeight="1" x14ac:dyDescent="0.25"/>
    <row r="1717" ht="30" customHeight="1" x14ac:dyDescent="0.25"/>
    <row r="1718" ht="30" customHeight="1" x14ac:dyDescent="0.25"/>
    <row r="1719" ht="30" customHeight="1" x14ac:dyDescent="0.25"/>
    <row r="1720" ht="30" customHeight="1" x14ac:dyDescent="0.25"/>
    <row r="1721" ht="30" customHeight="1" x14ac:dyDescent="0.25"/>
    <row r="1722" ht="30" customHeight="1" x14ac:dyDescent="0.25"/>
    <row r="1723" ht="30" customHeight="1" x14ac:dyDescent="0.25"/>
    <row r="1724" ht="30" customHeight="1" x14ac:dyDescent="0.25"/>
    <row r="1725" ht="30" customHeight="1" x14ac:dyDescent="0.25"/>
    <row r="1726" ht="30" customHeight="1" x14ac:dyDescent="0.25"/>
    <row r="1727" ht="30" customHeight="1" x14ac:dyDescent="0.25"/>
    <row r="1728" ht="30" customHeight="1" x14ac:dyDescent="0.25"/>
    <row r="1729" ht="30" customHeight="1" x14ac:dyDescent="0.25"/>
    <row r="1730" ht="30" customHeight="1" x14ac:dyDescent="0.25"/>
    <row r="1731" ht="30" customHeight="1" x14ac:dyDescent="0.25"/>
    <row r="1732" ht="30" customHeight="1" x14ac:dyDescent="0.25"/>
    <row r="1733" ht="30" customHeight="1" x14ac:dyDescent="0.25"/>
    <row r="1734" ht="30" customHeight="1" x14ac:dyDescent="0.25"/>
    <row r="1735" ht="30" customHeight="1" x14ac:dyDescent="0.25"/>
    <row r="1736" ht="30" customHeight="1" x14ac:dyDescent="0.25"/>
    <row r="1737" ht="30" customHeight="1" x14ac:dyDescent="0.25"/>
    <row r="1738" ht="30" customHeight="1" x14ac:dyDescent="0.25"/>
    <row r="1739" ht="30" customHeight="1" x14ac:dyDescent="0.25"/>
    <row r="1740" ht="30" customHeight="1" x14ac:dyDescent="0.25"/>
    <row r="1741" ht="30" customHeight="1" x14ac:dyDescent="0.25"/>
    <row r="1742" ht="30" customHeight="1" x14ac:dyDescent="0.25"/>
    <row r="1743" ht="30" customHeight="1" x14ac:dyDescent="0.25"/>
    <row r="1744" ht="30" customHeight="1" x14ac:dyDescent="0.25"/>
    <row r="1745" ht="30" customHeight="1" x14ac:dyDescent="0.25"/>
    <row r="1746" ht="30" customHeight="1" x14ac:dyDescent="0.25"/>
    <row r="1747" ht="30" customHeight="1" x14ac:dyDescent="0.25"/>
    <row r="1748" ht="30" customHeight="1" x14ac:dyDescent="0.25"/>
    <row r="1749" ht="30" customHeight="1" x14ac:dyDescent="0.25"/>
    <row r="1750" ht="30" customHeight="1" x14ac:dyDescent="0.25"/>
    <row r="1751" ht="30" customHeight="1" x14ac:dyDescent="0.25"/>
    <row r="1752" ht="30" customHeight="1" x14ac:dyDescent="0.25"/>
    <row r="1753" ht="30" customHeight="1" x14ac:dyDescent="0.25"/>
    <row r="1754" ht="30" customHeight="1" x14ac:dyDescent="0.25"/>
    <row r="1755" ht="30" customHeight="1" x14ac:dyDescent="0.25"/>
    <row r="1756" ht="30" customHeight="1" x14ac:dyDescent="0.25"/>
    <row r="1757" ht="30" customHeight="1" x14ac:dyDescent="0.25"/>
    <row r="1758" ht="30" customHeight="1" x14ac:dyDescent="0.25"/>
    <row r="1759" ht="30" customHeight="1" x14ac:dyDescent="0.25"/>
    <row r="1760" ht="30" customHeight="1" x14ac:dyDescent="0.25"/>
    <row r="1761" ht="30" customHeight="1" x14ac:dyDescent="0.25"/>
    <row r="1762" ht="30" customHeight="1" x14ac:dyDescent="0.25"/>
    <row r="1763" ht="30" customHeight="1" x14ac:dyDescent="0.25"/>
    <row r="1764" ht="30" customHeight="1" x14ac:dyDescent="0.25"/>
    <row r="1765" ht="30" customHeight="1" x14ac:dyDescent="0.25"/>
    <row r="1766" ht="30" customHeight="1" x14ac:dyDescent="0.25"/>
    <row r="1767" ht="30" customHeight="1" x14ac:dyDescent="0.25"/>
    <row r="1768" ht="30" customHeight="1" x14ac:dyDescent="0.25"/>
    <row r="1769" ht="30" customHeight="1" x14ac:dyDescent="0.25"/>
    <row r="1770" ht="30" customHeight="1" x14ac:dyDescent="0.25"/>
    <row r="1771" ht="30" customHeight="1" x14ac:dyDescent="0.25"/>
    <row r="1772" ht="30" customHeight="1" x14ac:dyDescent="0.25"/>
    <row r="1773" ht="30" customHeight="1" x14ac:dyDescent="0.25"/>
    <row r="1774" ht="30" customHeight="1" x14ac:dyDescent="0.25"/>
    <row r="1775" ht="30" customHeight="1" x14ac:dyDescent="0.25"/>
    <row r="1776" ht="30" customHeight="1" x14ac:dyDescent="0.25"/>
    <row r="1777" ht="30" customHeight="1" x14ac:dyDescent="0.25"/>
    <row r="1778" ht="30" customHeight="1" x14ac:dyDescent="0.25"/>
    <row r="1779" ht="30" customHeight="1" x14ac:dyDescent="0.25"/>
    <row r="1780" ht="30" customHeight="1" x14ac:dyDescent="0.25"/>
    <row r="1781" ht="30" customHeight="1" x14ac:dyDescent="0.25"/>
    <row r="1782" ht="30" customHeight="1" x14ac:dyDescent="0.25"/>
    <row r="1783" ht="30" customHeight="1" x14ac:dyDescent="0.25"/>
    <row r="1784" ht="30" customHeight="1" x14ac:dyDescent="0.25"/>
    <row r="1785" ht="30" customHeight="1" x14ac:dyDescent="0.25"/>
    <row r="1786" ht="30" customHeight="1" x14ac:dyDescent="0.25"/>
    <row r="1787" ht="30" customHeight="1" x14ac:dyDescent="0.25"/>
    <row r="1788" ht="30" customHeight="1" x14ac:dyDescent="0.25"/>
    <row r="1789" ht="30" customHeight="1" x14ac:dyDescent="0.25"/>
    <row r="1790" ht="30" customHeight="1" x14ac:dyDescent="0.25"/>
    <row r="1791" ht="30" customHeight="1" x14ac:dyDescent="0.25"/>
    <row r="1792" ht="30" customHeight="1" x14ac:dyDescent="0.25"/>
    <row r="1793" ht="30" customHeight="1" x14ac:dyDescent="0.25"/>
    <row r="1794" ht="30" customHeight="1" x14ac:dyDescent="0.25"/>
    <row r="1795" ht="30" customHeight="1" x14ac:dyDescent="0.25"/>
    <row r="1796" ht="30" customHeight="1" x14ac:dyDescent="0.25"/>
    <row r="1797" ht="30" customHeight="1" x14ac:dyDescent="0.25"/>
    <row r="1798" ht="30" customHeight="1" x14ac:dyDescent="0.25"/>
    <row r="1799" ht="30" customHeight="1" x14ac:dyDescent="0.25"/>
    <row r="1800" ht="30" customHeight="1" x14ac:dyDescent="0.25"/>
    <row r="1801" ht="30" customHeight="1" x14ac:dyDescent="0.25"/>
    <row r="1802" ht="30" customHeight="1" x14ac:dyDescent="0.25"/>
    <row r="1803" ht="30" customHeight="1" x14ac:dyDescent="0.25"/>
    <row r="1804" ht="30" customHeight="1" x14ac:dyDescent="0.25"/>
    <row r="1805" ht="30" customHeight="1" x14ac:dyDescent="0.25"/>
    <row r="1806" ht="30" customHeight="1" x14ac:dyDescent="0.25"/>
    <row r="1807" ht="30" customHeight="1" x14ac:dyDescent="0.25"/>
    <row r="1808" ht="30" customHeight="1" x14ac:dyDescent="0.25"/>
    <row r="1809" ht="30" customHeight="1" x14ac:dyDescent="0.25"/>
    <row r="1810" ht="30" customHeight="1" x14ac:dyDescent="0.25"/>
    <row r="1811" ht="30" customHeight="1" x14ac:dyDescent="0.25"/>
    <row r="1812" ht="30" customHeight="1" x14ac:dyDescent="0.25"/>
    <row r="1813" ht="30" customHeight="1" x14ac:dyDescent="0.25"/>
    <row r="1814" ht="30" customHeight="1" x14ac:dyDescent="0.25"/>
    <row r="1815" ht="30" customHeight="1" x14ac:dyDescent="0.25"/>
    <row r="1816" ht="30" customHeight="1" x14ac:dyDescent="0.25"/>
    <row r="1817" ht="30" customHeight="1" x14ac:dyDescent="0.25"/>
    <row r="1818" ht="30" customHeight="1" x14ac:dyDescent="0.25"/>
    <row r="1819" ht="30" customHeight="1" x14ac:dyDescent="0.25"/>
    <row r="1820" ht="30" customHeight="1" x14ac:dyDescent="0.25"/>
    <row r="1821" ht="30" customHeight="1" x14ac:dyDescent="0.25"/>
    <row r="1822" ht="30" customHeight="1" x14ac:dyDescent="0.25"/>
    <row r="1823" ht="30" customHeight="1" x14ac:dyDescent="0.25"/>
    <row r="1824" ht="30" customHeight="1" x14ac:dyDescent="0.25"/>
    <row r="1825" ht="30" customHeight="1" x14ac:dyDescent="0.25"/>
    <row r="1826" ht="30" customHeight="1" x14ac:dyDescent="0.25"/>
    <row r="1827" ht="30" customHeight="1" x14ac:dyDescent="0.25"/>
    <row r="1828" ht="30" customHeight="1" x14ac:dyDescent="0.25"/>
    <row r="1829" ht="30" customHeight="1" x14ac:dyDescent="0.25"/>
    <row r="1830" ht="30" customHeight="1" x14ac:dyDescent="0.25"/>
    <row r="1831" ht="30" customHeight="1" x14ac:dyDescent="0.25"/>
    <row r="1832" ht="30" customHeight="1" x14ac:dyDescent="0.25"/>
    <row r="1833" ht="30" customHeight="1" x14ac:dyDescent="0.25"/>
    <row r="1834" ht="30" customHeight="1" x14ac:dyDescent="0.25"/>
    <row r="1835" ht="30" customHeight="1" x14ac:dyDescent="0.25"/>
    <row r="1836" ht="30" customHeight="1" x14ac:dyDescent="0.25"/>
    <row r="1837" ht="30" customHeight="1" x14ac:dyDescent="0.25"/>
    <row r="1838" ht="30" customHeight="1" x14ac:dyDescent="0.25"/>
    <row r="1839" ht="30" customHeight="1" x14ac:dyDescent="0.25"/>
    <row r="1840" ht="30" customHeight="1" x14ac:dyDescent="0.25"/>
    <row r="1841" ht="30" customHeight="1" x14ac:dyDescent="0.25"/>
    <row r="1842" ht="30" customHeight="1" x14ac:dyDescent="0.25"/>
    <row r="1843" ht="30" customHeight="1" x14ac:dyDescent="0.25"/>
    <row r="1844" ht="30" customHeight="1" x14ac:dyDescent="0.25"/>
    <row r="1845" ht="30" customHeight="1" x14ac:dyDescent="0.25"/>
    <row r="1846" ht="30" customHeight="1" x14ac:dyDescent="0.25"/>
    <row r="1847" ht="30" customHeight="1" x14ac:dyDescent="0.25"/>
    <row r="1848" ht="30" customHeight="1" x14ac:dyDescent="0.25"/>
    <row r="1849" ht="30" customHeight="1" x14ac:dyDescent="0.25"/>
    <row r="1850" ht="30" customHeight="1" x14ac:dyDescent="0.25"/>
    <row r="1851" ht="30" customHeight="1" x14ac:dyDescent="0.25"/>
    <row r="1852" ht="30" customHeight="1" x14ac:dyDescent="0.25"/>
    <row r="1853" ht="30" customHeight="1" x14ac:dyDescent="0.25"/>
    <row r="1854" ht="30" customHeight="1" x14ac:dyDescent="0.25"/>
    <row r="1855" ht="30" customHeight="1" x14ac:dyDescent="0.25"/>
    <row r="1856" ht="30" customHeight="1" x14ac:dyDescent="0.25"/>
    <row r="1857" ht="30" customHeight="1" x14ac:dyDescent="0.25"/>
    <row r="1858" ht="30" customHeight="1" x14ac:dyDescent="0.25"/>
    <row r="1859" ht="30" customHeight="1" x14ac:dyDescent="0.25"/>
    <row r="1860" ht="30" customHeight="1" x14ac:dyDescent="0.25"/>
    <row r="1861" ht="30" customHeight="1" x14ac:dyDescent="0.25"/>
    <row r="1862" ht="30" customHeight="1" x14ac:dyDescent="0.25"/>
    <row r="1863" ht="30" customHeight="1" x14ac:dyDescent="0.25"/>
    <row r="1864" ht="30" customHeight="1" x14ac:dyDescent="0.25"/>
    <row r="1865" ht="30" customHeight="1" x14ac:dyDescent="0.25"/>
    <row r="1866" ht="30" customHeight="1" x14ac:dyDescent="0.25"/>
    <row r="1867" ht="30" customHeight="1" x14ac:dyDescent="0.25"/>
    <row r="1868" ht="30" customHeight="1" x14ac:dyDescent="0.25"/>
    <row r="1869" ht="30" customHeight="1" x14ac:dyDescent="0.25"/>
    <row r="1870" ht="30" customHeight="1" x14ac:dyDescent="0.25"/>
    <row r="1871" ht="30" customHeight="1" x14ac:dyDescent="0.25"/>
    <row r="1872" ht="30" customHeight="1" x14ac:dyDescent="0.25"/>
    <row r="1873" ht="30" customHeight="1" x14ac:dyDescent="0.25"/>
    <row r="1874" ht="30" customHeight="1" x14ac:dyDescent="0.25"/>
    <row r="1875" ht="30" customHeight="1" x14ac:dyDescent="0.25"/>
    <row r="1876" ht="30" customHeight="1" x14ac:dyDescent="0.25"/>
    <row r="1877" ht="30" customHeight="1" x14ac:dyDescent="0.25"/>
    <row r="1878" ht="30" customHeight="1" x14ac:dyDescent="0.25"/>
    <row r="1879" ht="30" customHeight="1" x14ac:dyDescent="0.25"/>
    <row r="1880" ht="30" customHeight="1" x14ac:dyDescent="0.25"/>
    <row r="1881" ht="30" customHeight="1" x14ac:dyDescent="0.25"/>
    <row r="1882" ht="30" customHeight="1" x14ac:dyDescent="0.25"/>
    <row r="1883" ht="30" customHeight="1" x14ac:dyDescent="0.25"/>
    <row r="1884" ht="30" customHeight="1" x14ac:dyDescent="0.25"/>
    <row r="1885" ht="30" customHeight="1" x14ac:dyDescent="0.25"/>
    <row r="1886" ht="30" customHeight="1" x14ac:dyDescent="0.25"/>
    <row r="1887" ht="30" customHeight="1" x14ac:dyDescent="0.25"/>
    <row r="1888" ht="30" customHeight="1" x14ac:dyDescent="0.25"/>
    <row r="1889" ht="30" customHeight="1" x14ac:dyDescent="0.25"/>
    <row r="1890" ht="30" customHeight="1" x14ac:dyDescent="0.25"/>
    <row r="1891" ht="30" customHeight="1" x14ac:dyDescent="0.25"/>
    <row r="1892" ht="30" customHeight="1" x14ac:dyDescent="0.25"/>
    <row r="1893" ht="30" customHeight="1" x14ac:dyDescent="0.25"/>
    <row r="1894" ht="30" customHeight="1" x14ac:dyDescent="0.25"/>
    <row r="1895" ht="30" customHeight="1" x14ac:dyDescent="0.25"/>
    <row r="1896" ht="30" customHeight="1" x14ac:dyDescent="0.25"/>
    <row r="1897" ht="30" customHeight="1" x14ac:dyDescent="0.25"/>
    <row r="1898" ht="30" customHeight="1" x14ac:dyDescent="0.25"/>
    <row r="1899" ht="30" customHeight="1" x14ac:dyDescent="0.25"/>
    <row r="1900" ht="30" customHeight="1" x14ac:dyDescent="0.25"/>
    <row r="1901" ht="30" customHeight="1" x14ac:dyDescent="0.25"/>
    <row r="1902" ht="30" customHeight="1" x14ac:dyDescent="0.25"/>
    <row r="1903" ht="30" customHeight="1" x14ac:dyDescent="0.25"/>
    <row r="1904" ht="30" customHeight="1" x14ac:dyDescent="0.25"/>
    <row r="1905" ht="30" customHeight="1" x14ac:dyDescent="0.25"/>
    <row r="1906" ht="30" customHeight="1" x14ac:dyDescent="0.25"/>
    <row r="1907" ht="30" customHeight="1" x14ac:dyDescent="0.25"/>
    <row r="1908" ht="30" customHeight="1" x14ac:dyDescent="0.25"/>
    <row r="1909" ht="30" customHeight="1" x14ac:dyDescent="0.25"/>
    <row r="1910" ht="30" customHeight="1" x14ac:dyDescent="0.25"/>
    <row r="1911" ht="30" customHeight="1" x14ac:dyDescent="0.25"/>
    <row r="1912" ht="30" customHeight="1" x14ac:dyDescent="0.25"/>
    <row r="1913" ht="30" customHeight="1" x14ac:dyDescent="0.25"/>
    <row r="1914" ht="30" customHeight="1" x14ac:dyDescent="0.25"/>
    <row r="1915" ht="30" customHeight="1" x14ac:dyDescent="0.25"/>
    <row r="1916" ht="30" customHeight="1" x14ac:dyDescent="0.25"/>
    <row r="1917" ht="30" customHeight="1" x14ac:dyDescent="0.25"/>
    <row r="1918" ht="30" customHeight="1" x14ac:dyDescent="0.25"/>
    <row r="1919" ht="30" customHeight="1" x14ac:dyDescent="0.25"/>
    <row r="1920" ht="30" customHeight="1" x14ac:dyDescent="0.25"/>
    <row r="1921" ht="30" customHeight="1" x14ac:dyDescent="0.25"/>
    <row r="1922" ht="30" customHeight="1" x14ac:dyDescent="0.25"/>
    <row r="1923" ht="30" customHeight="1" x14ac:dyDescent="0.25"/>
    <row r="1924" ht="30" customHeight="1" x14ac:dyDescent="0.25"/>
    <row r="1925" ht="30" customHeight="1" x14ac:dyDescent="0.25"/>
    <row r="1926" ht="30" customHeight="1" x14ac:dyDescent="0.25"/>
    <row r="1927" ht="30" customHeight="1" x14ac:dyDescent="0.25"/>
    <row r="1928" ht="30" customHeight="1" x14ac:dyDescent="0.25"/>
    <row r="1929" ht="30" customHeight="1" x14ac:dyDescent="0.25"/>
    <row r="1930" ht="30" customHeight="1" x14ac:dyDescent="0.25"/>
    <row r="1931" ht="30" customHeight="1" x14ac:dyDescent="0.25"/>
    <row r="1932" ht="30" customHeight="1" x14ac:dyDescent="0.25"/>
    <row r="1933" ht="30" customHeight="1" x14ac:dyDescent="0.25"/>
    <row r="1934" ht="30" customHeight="1" x14ac:dyDescent="0.25"/>
    <row r="1935" ht="30" customHeight="1" x14ac:dyDescent="0.25"/>
    <row r="1936" ht="30" customHeight="1" x14ac:dyDescent="0.25"/>
    <row r="1937" ht="30" customHeight="1" x14ac:dyDescent="0.25"/>
    <row r="1938" ht="30" customHeight="1" x14ac:dyDescent="0.25"/>
    <row r="1939" ht="30" customHeight="1" x14ac:dyDescent="0.25"/>
    <row r="1940" ht="30" customHeight="1" x14ac:dyDescent="0.25"/>
    <row r="1941" ht="30" customHeight="1" x14ac:dyDescent="0.25"/>
    <row r="1942" ht="30" customHeight="1" x14ac:dyDescent="0.25"/>
    <row r="1943" ht="30" customHeight="1" x14ac:dyDescent="0.25"/>
    <row r="1944" ht="30" customHeight="1" x14ac:dyDescent="0.25"/>
    <row r="1945" ht="30" customHeight="1" x14ac:dyDescent="0.25"/>
    <row r="1946" ht="30" customHeight="1" x14ac:dyDescent="0.25"/>
    <row r="1947" ht="30" customHeight="1" x14ac:dyDescent="0.25"/>
    <row r="1948" ht="30" customHeight="1" x14ac:dyDescent="0.25"/>
    <row r="1949" ht="30" customHeight="1" x14ac:dyDescent="0.25"/>
    <row r="1950" ht="30" customHeight="1" x14ac:dyDescent="0.25"/>
    <row r="1951" ht="30" customHeight="1" x14ac:dyDescent="0.25"/>
    <row r="1952" ht="30" customHeight="1" x14ac:dyDescent="0.25"/>
    <row r="1953" ht="30" customHeight="1" x14ac:dyDescent="0.25"/>
    <row r="1954" ht="30" customHeight="1" x14ac:dyDescent="0.25"/>
    <row r="1955" ht="30" customHeight="1" x14ac:dyDescent="0.25"/>
    <row r="1956" ht="30" customHeight="1" x14ac:dyDescent="0.25"/>
    <row r="1957" ht="30" customHeight="1" x14ac:dyDescent="0.25"/>
    <row r="1958" ht="30" customHeight="1" x14ac:dyDescent="0.25"/>
    <row r="1959" ht="30" customHeight="1" x14ac:dyDescent="0.25"/>
    <row r="1960" ht="30" customHeight="1" x14ac:dyDescent="0.25"/>
    <row r="1961" ht="30" customHeight="1" x14ac:dyDescent="0.25"/>
    <row r="1962" ht="30" customHeight="1" x14ac:dyDescent="0.25"/>
    <row r="1963" ht="30" customHeight="1" x14ac:dyDescent="0.25"/>
    <row r="1964" ht="30" customHeight="1" x14ac:dyDescent="0.25"/>
    <row r="1965" ht="30" customHeight="1" x14ac:dyDescent="0.25"/>
    <row r="1966" ht="30" customHeight="1" x14ac:dyDescent="0.25"/>
    <row r="1967" ht="30" customHeight="1" x14ac:dyDescent="0.25"/>
    <row r="1968" ht="30" customHeight="1" x14ac:dyDescent="0.25"/>
    <row r="1969" ht="30" customHeight="1" x14ac:dyDescent="0.25"/>
    <row r="1970" ht="30" customHeight="1" x14ac:dyDescent="0.25"/>
    <row r="1971" ht="30" customHeight="1" x14ac:dyDescent="0.25"/>
    <row r="1972" ht="30" customHeight="1" x14ac:dyDescent="0.25"/>
    <row r="1973" ht="30" customHeight="1" x14ac:dyDescent="0.25"/>
    <row r="1974" ht="30" customHeight="1" x14ac:dyDescent="0.25"/>
    <row r="1975" ht="30" customHeight="1" x14ac:dyDescent="0.25"/>
    <row r="1976" ht="30" customHeight="1" x14ac:dyDescent="0.25"/>
    <row r="1977" ht="30" customHeight="1" x14ac:dyDescent="0.25"/>
    <row r="1978" ht="30" customHeight="1" x14ac:dyDescent="0.25"/>
    <row r="1979" ht="30" customHeight="1" x14ac:dyDescent="0.25"/>
    <row r="1980" ht="30" customHeight="1" x14ac:dyDescent="0.25"/>
    <row r="1981" ht="30" customHeight="1" x14ac:dyDescent="0.25"/>
    <row r="1982" ht="30" customHeight="1" x14ac:dyDescent="0.25"/>
    <row r="1983" ht="30" customHeight="1" x14ac:dyDescent="0.25"/>
    <row r="1984" ht="30" customHeight="1" x14ac:dyDescent="0.25"/>
    <row r="1985" ht="30" customHeight="1" x14ac:dyDescent="0.25"/>
    <row r="1986" ht="30" customHeight="1" x14ac:dyDescent="0.25"/>
    <row r="1987" ht="30" customHeight="1" x14ac:dyDescent="0.25"/>
    <row r="1988" ht="30" customHeight="1" x14ac:dyDescent="0.25"/>
    <row r="1989" ht="30" customHeight="1" x14ac:dyDescent="0.25"/>
    <row r="1990" ht="30" customHeight="1" x14ac:dyDescent="0.25"/>
    <row r="1991" ht="30" customHeight="1" x14ac:dyDescent="0.25"/>
    <row r="1992" ht="30" customHeight="1" x14ac:dyDescent="0.25"/>
    <row r="1993" ht="30" customHeight="1" x14ac:dyDescent="0.25"/>
    <row r="1994" ht="30" customHeight="1" x14ac:dyDescent="0.25"/>
    <row r="1995" ht="30" customHeight="1" x14ac:dyDescent="0.25"/>
    <row r="1996" ht="30" customHeight="1" x14ac:dyDescent="0.25"/>
    <row r="1997" ht="30" customHeight="1" x14ac:dyDescent="0.25"/>
    <row r="1998" ht="30" customHeight="1" x14ac:dyDescent="0.25"/>
    <row r="1999" ht="30" customHeight="1" x14ac:dyDescent="0.25"/>
    <row r="2000" ht="30" customHeight="1" x14ac:dyDescent="0.25"/>
    <row r="2001" ht="30" customHeight="1" x14ac:dyDescent="0.25"/>
    <row r="2002" ht="30" customHeight="1" x14ac:dyDescent="0.25"/>
    <row r="2003" ht="30" customHeight="1" x14ac:dyDescent="0.25"/>
    <row r="2004" ht="30" customHeight="1" x14ac:dyDescent="0.25"/>
    <row r="2005" ht="30" customHeight="1" x14ac:dyDescent="0.25"/>
    <row r="2006" ht="30" customHeight="1" x14ac:dyDescent="0.25"/>
    <row r="2007" ht="30" customHeight="1" x14ac:dyDescent="0.25"/>
    <row r="2008" ht="30" customHeight="1" x14ac:dyDescent="0.25"/>
    <row r="2009" ht="30" customHeight="1" x14ac:dyDescent="0.25"/>
    <row r="2010" ht="30" customHeight="1" x14ac:dyDescent="0.25"/>
    <row r="2011" ht="30" customHeight="1" x14ac:dyDescent="0.25"/>
    <row r="2012" ht="30" customHeight="1" x14ac:dyDescent="0.25"/>
    <row r="2013" ht="30" customHeight="1" x14ac:dyDescent="0.25"/>
    <row r="2014" ht="30" customHeight="1" x14ac:dyDescent="0.25"/>
    <row r="2015" ht="30" customHeight="1" x14ac:dyDescent="0.25"/>
    <row r="2016" ht="30" customHeight="1" x14ac:dyDescent="0.25"/>
    <row r="2017" ht="30" customHeight="1" x14ac:dyDescent="0.25"/>
    <row r="2018" ht="30" customHeight="1" x14ac:dyDescent="0.25"/>
    <row r="2019" ht="30" customHeight="1" x14ac:dyDescent="0.25"/>
    <row r="2020" ht="30" customHeight="1" x14ac:dyDescent="0.25"/>
    <row r="2021" ht="30" customHeight="1" x14ac:dyDescent="0.25"/>
    <row r="2022" ht="30" customHeight="1" x14ac:dyDescent="0.25"/>
    <row r="2023" ht="30" customHeight="1" x14ac:dyDescent="0.25"/>
    <row r="2024" ht="30" customHeight="1" x14ac:dyDescent="0.25"/>
    <row r="2025" ht="30" customHeight="1" x14ac:dyDescent="0.25"/>
    <row r="2026" ht="30" customHeight="1" x14ac:dyDescent="0.25"/>
    <row r="2027" ht="30" customHeight="1" x14ac:dyDescent="0.25"/>
    <row r="2028" ht="30" customHeight="1" x14ac:dyDescent="0.25"/>
    <row r="2029" ht="30" customHeight="1" x14ac:dyDescent="0.25"/>
    <row r="2030" ht="30" customHeight="1" x14ac:dyDescent="0.25"/>
    <row r="2031" ht="30" customHeight="1" x14ac:dyDescent="0.25"/>
    <row r="2032" ht="30" customHeight="1" x14ac:dyDescent="0.25"/>
    <row r="2033" ht="30" customHeight="1" x14ac:dyDescent="0.25"/>
    <row r="2034" ht="30" customHeight="1" x14ac:dyDescent="0.25"/>
    <row r="2035" ht="30" customHeight="1" x14ac:dyDescent="0.25"/>
    <row r="2036" ht="30" customHeight="1" x14ac:dyDescent="0.25"/>
    <row r="2037" ht="30" customHeight="1" x14ac:dyDescent="0.25"/>
    <row r="2038" ht="30" customHeight="1" x14ac:dyDescent="0.25"/>
    <row r="2039" ht="30" customHeight="1" x14ac:dyDescent="0.25"/>
    <row r="2040" ht="30" customHeight="1" x14ac:dyDescent="0.25"/>
    <row r="2041" ht="30" customHeight="1" x14ac:dyDescent="0.25"/>
    <row r="2042" ht="30" customHeight="1" x14ac:dyDescent="0.25"/>
    <row r="2043" ht="30" customHeight="1" x14ac:dyDescent="0.25"/>
    <row r="2044" ht="30" customHeight="1" x14ac:dyDescent="0.25"/>
    <row r="2045" ht="30" customHeight="1" x14ac:dyDescent="0.25"/>
    <row r="2046" ht="30" customHeight="1" x14ac:dyDescent="0.25"/>
    <row r="2047" ht="30" customHeight="1" x14ac:dyDescent="0.25"/>
    <row r="2048" ht="30" customHeight="1" x14ac:dyDescent="0.25"/>
    <row r="2049" ht="30" customHeight="1" x14ac:dyDescent="0.25"/>
    <row r="2050" ht="30" customHeight="1" x14ac:dyDescent="0.25"/>
    <row r="2051" ht="30" customHeight="1" x14ac:dyDescent="0.25"/>
    <row r="2052" ht="30" customHeight="1" x14ac:dyDescent="0.25"/>
    <row r="2053" ht="30" customHeight="1" x14ac:dyDescent="0.25"/>
    <row r="2054" ht="30" customHeight="1" x14ac:dyDescent="0.25"/>
    <row r="2055" ht="30" customHeight="1" x14ac:dyDescent="0.25"/>
    <row r="2056" ht="30" customHeight="1" x14ac:dyDescent="0.25"/>
    <row r="2057" ht="30" customHeight="1" x14ac:dyDescent="0.25"/>
    <row r="2058" ht="30" customHeight="1" x14ac:dyDescent="0.25"/>
    <row r="2059" ht="30" customHeight="1" x14ac:dyDescent="0.25"/>
    <row r="2060" ht="30" customHeight="1" x14ac:dyDescent="0.25"/>
    <row r="2061" ht="30" customHeight="1" x14ac:dyDescent="0.25"/>
    <row r="2062" ht="30" customHeight="1" x14ac:dyDescent="0.25"/>
    <row r="2063" ht="30" customHeight="1" x14ac:dyDescent="0.25"/>
    <row r="2064" ht="30" customHeight="1" x14ac:dyDescent="0.25"/>
    <row r="2065" ht="30" customHeight="1" x14ac:dyDescent="0.25"/>
    <row r="2066" ht="30" customHeight="1" x14ac:dyDescent="0.25"/>
    <row r="2067" ht="30" customHeight="1" x14ac:dyDescent="0.25"/>
    <row r="2068" ht="30" customHeight="1" x14ac:dyDescent="0.25"/>
    <row r="2069" ht="30" customHeight="1" x14ac:dyDescent="0.25"/>
    <row r="2070" ht="30" customHeight="1" x14ac:dyDescent="0.25"/>
    <row r="2071" ht="30" customHeight="1" x14ac:dyDescent="0.25"/>
    <row r="2072" ht="30" customHeight="1" x14ac:dyDescent="0.25"/>
    <row r="2073" ht="30" customHeight="1" x14ac:dyDescent="0.25"/>
    <row r="2074" ht="30" customHeight="1" x14ac:dyDescent="0.25"/>
    <row r="2075" ht="30" customHeight="1" x14ac:dyDescent="0.25"/>
    <row r="2076" ht="30" customHeight="1" x14ac:dyDescent="0.25"/>
    <row r="2077" ht="30" customHeight="1" x14ac:dyDescent="0.25"/>
    <row r="2078" ht="30" customHeight="1" x14ac:dyDescent="0.25"/>
    <row r="2079" ht="30" customHeight="1" x14ac:dyDescent="0.25"/>
    <row r="2080" ht="30" customHeight="1" x14ac:dyDescent="0.25"/>
    <row r="2081" ht="30" customHeight="1" x14ac:dyDescent="0.25"/>
    <row r="2082" ht="30" customHeight="1" x14ac:dyDescent="0.25"/>
    <row r="2083" ht="30" customHeight="1" x14ac:dyDescent="0.25"/>
    <row r="2084" ht="30" customHeight="1" x14ac:dyDescent="0.25"/>
    <row r="2085" ht="30" customHeight="1" x14ac:dyDescent="0.25"/>
    <row r="2086" ht="30" customHeight="1" x14ac:dyDescent="0.25"/>
    <row r="2087" ht="30" customHeight="1" x14ac:dyDescent="0.25"/>
    <row r="2088" ht="30" customHeight="1" x14ac:dyDescent="0.25"/>
    <row r="2089" ht="30" customHeight="1" x14ac:dyDescent="0.25"/>
    <row r="2090" ht="30" customHeight="1" x14ac:dyDescent="0.25"/>
    <row r="2091" ht="30" customHeight="1" x14ac:dyDescent="0.25"/>
    <row r="2092" ht="30" customHeight="1" x14ac:dyDescent="0.25"/>
    <row r="2093" ht="30" customHeight="1" x14ac:dyDescent="0.25"/>
    <row r="2094" ht="30" customHeight="1" x14ac:dyDescent="0.25"/>
    <row r="2095" ht="30" customHeight="1" x14ac:dyDescent="0.25"/>
    <row r="2096" ht="30" customHeight="1" x14ac:dyDescent="0.25"/>
    <row r="2097" ht="30" customHeight="1" x14ac:dyDescent="0.25"/>
    <row r="2098" ht="30" customHeight="1" x14ac:dyDescent="0.25"/>
    <row r="2099" ht="30" customHeight="1" x14ac:dyDescent="0.25"/>
    <row r="2100" ht="30" customHeight="1" x14ac:dyDescent="0.25"/>
    <row r="2101" ht="30" customHeight="1" x14ac:dyDescent="0.25"/>
    <row r="2102" ht="30" customHeight="1" x14ac:dyDescent="0.25"/>
    <row r="2103" ht="30" customHeight="1" x14ac:dyDescent="0.25"/>
    <row r="2104" ht="30" customHeight="1" x14ac:dyDescent="0.25"/>
    <row r="2105" ht="30" customHeight="1" x14ac:dyDescent="0.25"/>
    <row r="2106" ht="30" customHeight="1" x14ac:dyDescent="0.25"/>
    <row r="2107" ht="30" customHeight="1" x14ac:dyDescent="0.25"/>
    <row r="2108" ht="30" customHeight="1" x14ac:dyDescent="0.25"/>
    <row r="2109" ht="30" customHeight="1" x14ac:dyDescent="0.25"/>
    <row r="2110" ht="30" customHeight="1" x14ac:dyDescent="0.25"/>
    <row r="2111" ht="30" customHeight="1" x14ac:dyDescent="0.25"/>
    <row r="2112" ht="30" customHeight="1" x14ac:dyDescent="0.25"/>
    <row r="2113" ht="30" customHeight="1" x14ac:dyDescent="0.25"/>
    <row r="2114" ht="30" customHeight="1" x14ac:dyDescent="0.25"/>
    <row r="2115" ht="30" customHeight="1" x14ac:dyDescent="0.25"/>
    <row r="2116" ht="30" customHeight="1" x14ac:dyDescent="0.25"/>
    <row r="2117" ht="30" customHeight="1" x14ac:dyDescent="0.25"/>
    <row r="2118" ht="30" customHeight="1" x14ac:dyDescent="0.25"/>
    <row r="2119" ht="30" customHeight="1" x14ac:dyDescent="0.25"/>
    <row r="2120" ht="30" customHeight="1" x14ac:dyDescent="0.25"/>
    <row r="2121" ht="30" customHeight="1" x14ac:dyDescent="0.25"/>
    <row r="2122" ht="30" customHeight="1" x14ac:dyDescent="0.25"/>
    <row r="2123" ht="30" customHeight="1" x14ac:dyDescent="0.25"/>
    <row r="2124" ht="30" customHeight="1" x14ac:dyDescent="0.25"/>
    <row r="2125" ht="30" customHeight="1" x14ac:dyDescent="0.25"/>
    <row r="2126" ht="30" customHeight="1" x14ac:dyDescent="0.25"/>
    <row r="2127" ht="30" customHeight="1" x14ac:dyDescent="0.25"/>
    <row r="2128" ht="30" customHeight="1" x14ac:dyDescent="0.25"/>
    <row r="2129" ht="30" customHeight="1" x14ac:dyDescent="0.25"/>
    <row r="2130" ht="30" customHeight="1" x14ac:dyDescent="0.25"/>
    <row r="2131" ht="30" customHeight="1" x14ac:dyDescent="0.25"/>
    <row r="2132" ht="30" customHeight="1" x14ac:dyDescent="0.25"/>
    <row r="2133" ht="30" customHeight="1" x14ac:dyDescent="0.25"/>
    <row r="2134" ht="30" customHeight="1" x14ac:dyDescent="0.25"/>
    <row r="2135" ht="30" customHeight="1" x14ac:dyDescent="0.25"/>
    <row r="2136" ht="30" customHeight="1" x14ac:dyDescent="0.25"/>
    <row r="2137" ht="30" customHeight="1" x14ac:dyDescent="0.25"/>
    <row r="2138" ht="30" customHeight="1" x14ac:dyDescent="0.25"/>
    <row r="2139" ht="30" customHeight="1" x14ac:dyDescent="0.25"/>
    <row r="2140" ht="30" customHeight="1" x14ac:dyDescent="0.25"/>
    <row r="2141" ht="30" customHeight="1" x14ac:dyDescent="0.25"/>
    <row r="2142" ht="30" customHeight="1" x14ac:dyDescent="0.25"/>
    <row r="2143" ht="30" customHeight="1" x14ac:dyDescent="0.25"/>
    <row r="2144" ht="30" customHeight="1" x14ac:dyDescent="0.25"/>
    <row r="2145" ht="30" customHeight="1" x14ac:dyDescent="0.25"/>
    <row r="2146" ht="30" customHeight="1" x14ac:dyDescent="0.25"/>
    <row r="2147" ht="30" customHeight="1" x14ac:dyDescent="0.25"/>
    <row r="2148" ht="30" customHeight="1" x14ac:dyDescent="0.25"/>
    <row r="2149" ht="30" customHeight="1" x14ac:dyDescent="0.25"/>
    <row r="2150" ht="30" customHeight="1" x14ac:dyDescent="0.25"/>
    <row r="2151" ht="30" customHeight="1" x14ac:dyDescent="0.25"/>
    <row r="2152" ht="30" customHeight="1" x14ac:dyDescent="0.25"/>
    <row r="2153" ht="30" customHeight="1" x14ac:dyDescent="0.25"/>
    <row r="2154" ht="30" customHeight="1" x14ac:dyDescent="0.25"/>
    <row r="2155" ht="30" customHeight="1" x14ac:dyDescent="0.25"/>
    <row r="2156" ht="30" customHeight="1" x14ac:dyDescent="0.25"/>
    <row r="2157" ht="30" customHeight="1" x14ac:dyDescent="0.25"/>
    <row r="2158" ht="30" customHeight="1" x14ac:dyDescent="0.25"/>
    <row r="2159" ht="30" customHeight="1" x14ac:dyDescent="0.25"/>
    <row r="2160" ht="30" customHeight="1" x14ac:dyDescent="0.25"/>
    <row r="2161" ht="30" customHeight="1" x14ac:dyDescent="0.25"/>
    <row r="2162" ht="30" customHeight="1" x14ac:dyDescent="0.25"/>
    <row r="2163" ht="30" customHeight="1" x14ac:dyDescent="0.25"/>
    <row r="2164" ht="30" customHeight="1" x14ac:dyDescent="0.25"/>
    <row r="2165" ht="30" customHeight="1" x14ac:dyDescent="0.25"/>
    <row r="2166" ht="30" customHeight="1" x14ac:dyDescent="0.25"/>
    <row r="2167" ht="30" customHeight="1" x14ac:dyDescent="0.25"/>
    <row r="2168" ht="30" customHeight="1" x14ac:dyDescent="0.25"/>
    <row r="2169" ht="30" customHeight="1" x14ac:dyDescent="0.25"/>
    <row r="2170" ht="30" customHeight="1" x14ac:dyDescent="0.25"/>
  </sheetData>
  <autoFilter ref="A7:BV217" xr:uid="{00000000-0001-0000-0000-000000000000}">
    <filterColumn colId="10">
      <filters>
        <filter val="K49"/>
      </filters>
    </filterColumn>
  </autoFilter>
  <mergeCells count="28">
    <mergeCell ref="AT1:AT6"/>
    <mergeCell ref="H1:H6"/>
    <mergeCell ref="J1:J6"/>
    <mergeCell ref="C5:C6"/>
    <mergeCell ref="D5:D6"/>
    <mergeCell ref="E5:E6"/>
    <mergeCell ref="AM1:AM6"/>
    <mergeCell ref="F1:F6"/>
    <mergeCell ref="G1:G6"/>
    <mergeCell ref="AR1:AR6"/>
    <mergeCell ref="AS1:AS6"/>
    <mergeCell ref="AO1:AP4"/>
    <mergeCell ref="AN1:AN6"/>
    <mergeCell ref="I1:I6"/>
    <mergeCell ref="Q5:Q6"/>
    <mergeCell ref="R5:R6"/>
    <mergeCell ref="B4:B6"/>
    <mergeCell ref="B1:B3"/>
    <mergeCell ref="K1:K6"/>
    <mergeCell ref="L1:L6"/>
    <mergeCell ref="M1:M6"/>
    <mergeCell ref="AK1:AK6"/>
    <mergeCell ref="AL1:AL6"/>
    <mergeCell ref="N1:P4"/>
    <mergeCell ref="P5:P6"/>
    <mergeCell ref="AJ1:AJ4"/>
    <mergeCell ref="S1:AH4"/>
    <mergeCell ref="O5:O6"/>
  </mergeCells>
  <phoneticPr fontId="11" type="noConversion"/>
  <conditionalFormatting sqref="E1:E1048576">
    <cfRule type="duplicateValues" dxfId="0" priority="1"/>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Sổ phụ tháng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2024-08-22T09:33:48Z</dcterms:created>
  <dcterms:modified xsi:type="dcterms:W3CDTF">2026-03-12T08:19:57Z</dcterms:modified>
</cp:coreProperties>
</file>